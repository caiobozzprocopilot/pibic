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Anotação" sheetId="2" state="visible" r:id="rId4"/>
    <sheet name="Resumo" sheetId="3" state="visible" r:id="rId5"/>
  </sheets>
  <definedNames>
    <definedName function="false" hidden="false" name="codigos" vbProcedure="false">Instruções!$A$14:$A$23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<sst xmlns="http://schemas.openxmlformats.org/spreadsheetml/2006/main" count="378" uniqueCount="248">
  <si>
    <t xml:space="preserve">SP3 — Tipologia de divergência entre métricas e julgamento humano</t>
  </si>
  <si>
    <t xml:space="preserve">PIBIC 2026–2027 · amostra de 100 itens do FEB/SBIC (50 por direção) · gerada por src/amostra_sp3.py</t>
  </si>
  <si>
    <t xml:space="preserve">VALIDAÇÃO INDEPENDENTE: anote sem abrir sp3_anotacao_cega_final.xlsx nem sp3_anotacao_claude.tsv até terminar. Preencha só 'Categoria (humano)' e, se quiser, 'Observação'. A5 não existe neste livro de códigos: se achar um padrão novo, use A9/B9 e descreva na Observação.</t>
  </si>
  <si>
    <t xml:space="preserve">Aviso</t>
  </si>
  <si>
    <t xml:space="preserve">Os posts são do SBIC e contêm linguagem ofensiva e discurso de ódio. É o objeto de estudo; leia com isso em mente.</t>
  </si>
  <si>
    <t xml:space="preserve">O que fazer</t>
  </si>
  <si>
    <t xml:space="preserve">Na aba "Anotação", preencha só as colunas amarelas: CATEGORIA FINAL (lista suspensa) e Observação. A categoria sugerida vem de uma heurística automática: se concordar, escolha o mesmo código; se não, escolha outro.</t>
  </si>
  <si>
    <t xml:space="preserve">Direção A</t>
  </si>
  <si>
    <t xml:space="preserve">Métrica alta, humano baixo (plausibilidade ≤ 1/3, maiores ROUGE-L): a métrica "aprova" o que os humanos reprovam.</t>
  </si>
  <si>
    <t xml:space="preserve">Direção B</t>
  </si>
  <si>
    <t xml:space="preserve">Métrica baixa, humano alto (plausibilidade ≥ 2/3, menores ROUGE-L): a métrica "reprova" o que os humanos aprovam.</t>
  </si>
  <si>
    <t xml:space="preserve">Colunas</t>
  </si>
  <si>
    <t xml:space="preserve">Plausibilidade = média de 3 anotadores (yes = 1, w_yes = 2/3, w_no = 1/3, no = 0). ROUGE-L sem o prefixo "this post implies that". "Múltipla" = contra todas as referências do SBIC.</t>
  </si>
  <si>
    <t xml:space="preserve">Dica</t>
  </si>
  <si>
    <t xml:space="preserve">Se ficar em dúvida entre duas categorias, escolha a principal e cite a outra na Observação. Use A9/B9 só quando nada servir.</t>
  </si>
  <si>
    <t xml:space="preserve">Livro de códigos</t>
  </si>
  <si>
    <t xml:space="preserve">Código</t>
  </si>
  <si>
    <t xml:space="preserve">Direção</t>
  </si>
  <si>
    <t xml:space="preserve">Categoria</t>
  </si>
  <si>
    <t xml:space="preserve">Definição</t>
  </si>
  <si>
    <t xml:space="preserve">Exemplo</t>
  </si>
  <si>
    <t xml:space="preserve">A1</t>
  </si>
  <si>
    <t xml:space="preserve">A</t>
  </si>
  <si>
    <t xml:space="preserve">Grupo certo, estereótipo errado</t>
  </si>
  <si>
    <t xml:space="preserve">Acerta o grupo-alvo, mas atribui a ele um estereótipo diferente do que o post implica.</t>
  </si>
  <si>
    <t xml:space="preserve">ref: black folks are violent · gerada: black folks are stupid</t>
  </si>
  <si>
    <t xml:space="preserve">A2</t>
  </si>
  <si>
    <t xml:space="preserve">Sobreposição só de molde</t>
  </si>
  <si>
    <t xml:space="preserve">As palavras em comum são estrutura ou molde ("is a personal attack", "can't"), não conteúdo.</t>
  </si>
  <si>
    <t xml:space="preserve">ref: this post is a personal attack · gerada: incel redemption story is a personal attack</t>
  </si>
  <si>
    <t xml:space="preserve">A3</t>
  </si>
  <si>
    <t xml:space="preserve">Sentido invertido ou positivo</t>
  </si>
  <si>
    <t xml:space="preserve">Mesmo grupo, mas a gerada diz algo positivo ou oposto ao estereótipo.</t>
  </si>
  <si>
    <t xml:space="preserve">ref: women are cowardly · gerada: women are smarter</t>
  </si>
  <si>
    <t xml:space="preserve">A4</t>
  </si>
  <si>
    <t xml:space="preserve">Referência também implausível</t>
  </si>
  <si>
    <t xml:space="preserve">Os humanos também deram nota baixa à referência: o problema é o item, não a métrica.</t>
  </si>
  <si>
    <t xml:space="preserve">plausibilidade da referência &lt;= 1/3</t>
  </si>
  <si>
    <t xml:space="preserve">A9</t>
  </si>
  <si>
    <t xml:space="preserve">Outro (A)</t>
  </si>
  <si>
    <t xml:space="preserve">Nenhuma das anteriores. Descreva na observação.</t>
  </si>
  <si>
    <t xml:space="preserve">B1</t>
  </si>
  <si>
    <t xml:space="preserve">B</t>
  </si>
  <si>
    <t xml:space="preserve">Paráfrase</t>
  </si>
  <si>
    <t xml:space="preserve">Mesma ideia com outras palavras (inclui nomes diferentes para o mesmo grupo).</t>
  </si>
  <si>
    <t xml:space="preserve">ref: islam is violent · gerada: muslims are bad</t>
  </si>
  <si>
    <t xml:space="preserve">B2</t>
  </si>
  <si>
    <t xml:space="preserve">Explicação genérica</t>
  </si>
  <si>
    <t xml:space="preserve">A referência (ou a gerada) não nomeia grupo nem estereótipo: "personal attack", "trivializes harm".</t>
  </si>
  <si>
    <t xml:space="preserve">ref: this post is a personal attack · gerada: women are objects</t>
  </si>
  <si>
    <t xml:space="preserve">B3</t>
  </si>
  <si>
    <t xml:space="preserve">Implicação alternativa coberta</t>
  </si>
  <si>
    <t xml:space="preserve">Outra leitura válida do post, que aparece em outra referência do SBIC (ROUGE-L múltiplo alto).</t>
  </si>
  <si>
    <t xml:space="preserve">ref: nobody cares if they drown · gerada: mexicans can't swim (ROUGE-L múlt. = 1)</t>
  </si>
  <si>
    <t xml:space="preserve">B4</t>
  </si>
  <si>
    <t xml:space="preserve">Implicação alternativa não coberta</t>
  </si>
  <si>
    <t xml:space="preserve">Outra leitura válida do post, que nenhuma referência do SBIC captura.</t>
  </si>
  <si>
    <t xml:space="preserve">ref: fat folks don't get love · gerada: women are more attractive than men</t>
  </si>
  <si>
    <t xml:space="preserve">B9</t>
  </si>
  <si>
    <t xml:space="preserve">Outro (B)</t>
  </si>
  <si>
    <t xml:space="preserve">Exemplo de linha preenchida</t>
  </si>
  <si>
    <t xml:space="preserve">Referência</t>
  </si>
  <si>
    <t xml:space="preserve">this post implies that black folks are violent</t>
  </si>
  <si>
    <t xml:space="preserve">Gerada</t>
  </si>
  <si>
    <t xml:space="preserve">this post implies that black folks are stupid</t>
  </si>
  <si>
    <t xml:space="preserve">Humano / ROUGE-L</t>
  </si>
  <si>
    <t xml:space="preserve">0,00 / 0,75</t>
  </si>
  <si>
    <t xml:space="preserve">Sugerida</t>
  </si>
  <si>
    <t xml:space="preserve">A1 (mesmo grupo: black, estereótipo diferente)</t>
  </si>
  <si>
    <t xml:space="preserve">CATEGORIA FINAL</t>
  </si>
  <si>
    <t xml:space="preserve">Observação</t>
  </si>
  <si>
    <t xml:space="preserve">Ambos são estereótipos reais sobre o grupo; o post implica violência, não inteligência.</t>
  </si>
  <si>
    <t xml:space="preserve">ID</t>
  </si>
  <si>
    <t xml:space="preserve">Dir.</t>
  </si>
  <si>
    <t xml:space="preserve">Modelo</t>
  </si>
  <si>
    <t xml:space="preserve">Post</t>
  </si>
  <si>
    <t xml:space="preserve">Referência (FEB)</t>
  </si>
  <si>
    <t xml:space="preserve">Plaus. humana</t>
  </si>
  <si>
    <t xml:space="preserve">Notas (3 anot.)</t>
  </si>
  <si>
    <t xml:space="preserve">Plaus. da ref.</t>
  </si>
  <si>
    <t xml:space="preserve">ROUGE-L única</t>
  </si>
  <si>
    <t xml:space="preserve">ROUGE-L múltipla</t>
  </si>
  <si>
    <t xml:space="preserve">Nº refs</t>
  </si>
  <si>
    <t xml:space="preserve">Categoria (humano)</t>
  </si>
  <si>
    <t xml:space="preserve">A-22</t>
  </si>
  <si>
    <t xml:space="preserve">T5-base</t>
  </si>
  <si>
    <t xml:space="preserve">A hit with 5-year-olds @adnan_bahatti55 Don't treat women like an object. It doesn't like it... #JK #NotSexist #SorryNotSorry</t>
  </si>
  <si>
    <t xml:space="preserve">this post implies that women are like objects</t>
  </si>
  <si>
    <t xml:space="preserve">this post implies that women are not sexist</t>
  </si>
  <si>
    <t xml:space="preserve">no|no|no</t>
  </si>
  <si>
    <t xml:space="preserve">B-02</t>
  </si>
  <si>
    <t xml:space="preserve">T5-3B</t>
  </si>
  <si>
    <t xml:space="preserve">What's long and disturbing? The list of minors I touched today.</t>
  </si>
  <si>
    <t xml:space="preserve">this post is a personal attack</t>
  </si>
  <si>
    <t xml:space="preserve">this post implies that minors are being used for sexual abuse</t>
  </si>
  <si>
    <t xml:space="preserve">yes|yes|yes</t>
  </si>
  <si>
    <t xml:space="preserve">A-10</t>
  </si>
  <si>
    <t xml:space="preserve">T5-large</t>
  </si>
  <si>
    <t xml:space="preserve">Me trying to get fake internet points is just like a black kid meeting his father. It's never gonna happen.</t>
  </si>
  <si>
    <t xml:space="preserve">this post implies that black folks are bad fathers</t>
  </si>
  <si>
    <t xml:space="preserve">this post implies that black folks are exploited</t>
  </si>
  <si>
    <t xml:space="preserve">A-30</t>
  </si>
  <si>
    <t xml:space="preserve">if i have three cans of mountain dew in one hand and three bags of doritos in the other , what do i have all up ? aspergers .</t>
  </si>
  <si>
    <t xml:space="preserve">this post implies that people with aspergers are crazy</t>
  </si>
  <si>
    <t xml:space="preserve">this post implies that people are overeating</t>
  </si>
  <si>
    <t xml:space="preserve">no|w_yes|no</t>
  </si>
  <si>
    <t xml:space="preserve">B-42</t>
  </si>
  <si>
    <t xml:space="preserve">WHY CANT THESE PEOPLE STICK TO ONE FUCKING PLAN AND WHY DONT PEOPLE UNDERSTAND THE CONCEPT OF TIME</t>
  </si>
  <si>
    <t xml:space="preserve">this post implies that people don't understand the concept of time</t>
  </si>
  <si>
    <t xml:space="preserve">no|yes|yes</t>
  </si>
  <si>
    <t xml:space="preserve">B-36</t>
  </si>
  <si>
    <t xml:space="preserve">GPT-3</t>
  </si>
  <si>
    <t xml:space="preserve">Why did Helen Keller's dog run away when she called it? You'd run too if your name was "rhfghgdfr".</t>
  </si>
  <si>
    <t xml:space="preserve">this post implies that people with disabilities are dumb</t>
  </si>
  <si>
    <t xml:space="preserve">w_yes|w_no|yes</t>
  </si>
  <si>
    <t xml:space="preserve">A-28</t>
  </si>
  <si>
    <t xml:space="preserve">What is Webster's dictionary definition for "confusion" ? Fathers day in Harlem   (I didn't use the word black)</t>
  </si>
  <si>
    <t xml:space="preserve">this post implies that black women are promiscuous</t>
  </si>
  <si>
    <t xml:space="preserve">this post implies that black folks are lazy</t>
  </si>
  <si>
    <t xml:space="preserve">no|no|w_yes</t>
  </si>
  <si>
    <t xml:space="preserve">A-02</t>
  </si>
  <si>
    <t xml:space="preserve">they say the vegas shooter was a white guy . &lt;repeat&gt; i was betting on black .</t>
  </si>
  <si>
    <t xml:space="preserve">B-24</t>
  </si>
  <si>
    <t xml:space="preserve">what do you call four mexicans that ca n’t swim ? quatro cinco</t>
  </si>
  <si>
    <t xml:space="preserve">this post implies that nobdy cares if they drown</t>
  </si>
  <si>
    <t xml:space="preserve">this post implies that mexicans can’t swim</t>
  </si>
  <si>
    <t xml:space="preserve">yes|w_yes|w_yes</t>
  </si>
  <si>
    <t xml:space="preserve">A-09</t>
  </si>
  <si>
    <t xml:space="preserve">What do you call a smiling black man? Snigger</t>
  </si>
  <si>
    <t xml:space="preserve">this post implies that black people are a waste</t>
  </si>
  <si>
    <t xml:space="preserve">this post implies that black people are sniggers</t>
  </si>
  <si>
    <t xml:space="preserve">A-46</t>
  </si>
  <si>
    <t xml:space="preserve">What is the difference between a jew and a pizza : I don't like eating pizza</t>
  </si>
  <si>
    <t xml:space="preserve">this post implies that jewish folks are less than human</t>
  </si>
  <si>
    <t xml:space="preserve">this post implies that jewish folks eat pizza</t>
  </si>
  <si>
    <t xml:space="preserve">B-33</t>
  </si>
  <si>
    <t xml:space="preserve">Grandma:: I always said, if reincarnation exists I want to come back as either a man or a rich man's dog. Me:: Why? Grandma:: *laughs* Because I don't like being a woman! Me:: I like being a woman. Grandma:: Really?</t>
  </si>
  <si>
    <t xml:space="preserve">this post implies that women are lesser humans</t>
  </si>
  <si>
    <t xml:space="preserve">w_yes|w_yes|w_yes</t>
  </si>
  <si>
    <t xml:space="preserve">B-28</t>
  </si>
  <si>
    <t xml:space="preserve">what do you call two homeless people hitting each other with cardboard ? a pillow fight</t>
  </si>
  <si>
    <t xml:space="preserve">this post implies that not having neccesities</t>
  </si>
  <si>
    <t xml:space="preserve">this post implies that homeless people are fighting each other</t>
  </si>
  <si>
    <t xml:space="preserve">w_yes|w_yes|yes</t>
  </si>
  <si>
    <t xml:space="preserve">A-33</t>
  </si>
  <si>
    <t xml:space="preserve">What do you call it when a gay man busts a nut Fruit shoot</t>
  </si>
  <si>
    <t xml:space="preserve">this post implies that gay men are called fruits</t>
  </si>
  <si>
    <t xml:space="preserve">this post implies that gay men are all gays have been busted</t>
  </si>
  <si>
    <t xml:space="preserve">B-07</t>
  </si>
  <si>
    <t xml:space="preserve">if you play close attention you realize humans are actually unattractive</t>
  </si>
  <si>
    <t xml:space="preserve">this post implies that humans are not attractive</t>
  </si>
  <si>
    <t xml:space="preserve">A-03</t>
  </si>
  <si>
    <t xml:space="preserve">this post implies that black folks are dumb</t>
  </si>
  <si>
    <t xml:space="preserve">A-42</t>
  </si>
  <si>
    <t xml:space="preserve">Roman Catholics in the US are trash. They give Catholics in Europe a bad name.</t>
  </si>
  <si>
    <t xml:space="preserve">this post implies that catholics are hypocritical</t>
  </si>
  <si>
    <t xml:space="preserve">this post implies that catholics in the us are dirty</t>
  </si>
  <si>
    <t xml:space="preserve">A-49</t>
  </si>
  <si>
    <t xml:space="preserve">what do you call a nice looking black woman ? hot chocolate</t>
  </si>
  <si>
    <t xml:space="preserve">this post implies that women are objects of sexual attention</t>
  </si>
  <si>
    <t xml:space="preserve">this post implies that black women are ugly</t>
  </si>
  <si>
    <t xml:space="preserve">B-10</t>
  </si>
  <si>
    <t xml:space="preserve">The bitch mentally ill and y'all out here taking her side because she looks beat up. She got jumped . Y'all do anything to hate a man.</t>
  </si>
  <si>
    <t xml:space="preserve">this post implies that mentally ill people are not to be taken seriously.</t>
  </si>
  <si>
    <t xml:space="preserve">yes|yes|w_yes</t>
  </si>
  <si>
    <t xml:space="preserve">B-22</t>
  </si>
  <si>
    <t xml:space="preserve">Even morbidly obese women have higher sexual and romantic value than average and below average men</t>
  </si>
  <si>
    <t xml:space="preserve">this post implies that fat folks don't get love</t>
  </si>
  <si>
    <t xml:space="preserve">this post implies that women are more attractive than men</t>
  </si>
  <si>
    <t xml:space="preserve">w_yes|yes|w_yes</t>
  </si>
  <si>
    <t xml:space="preserve">A-35</t>
  </si>
  <si>
    <t xml:space="preserve">Black Now give me my karma goddamit</t>
  </si>
  <si>
    <t xml:space="preserve">this post implies that black people are undeserving</t>
  </si>
  <si>
    <t xml:space="preserve">this post implies that black folks are all criminals</t>
  </si>
  <si>
    <t xml:space="preserve">B-14</t>
  </si>
  <si>
    <t xml:space="preserve">Morocco is a great country Few days ago two Scandinavian girls lost their heads for it.</t>
  </si>
  <si>
    <t xml:space="preserve">this post trivializes harm to victims</t>
  </si>
  <si>
    <t xml:space="preserve">this post implies that morroco is a bad country</t>
  </si>
  <si>
    <t xml:space="preserve">w_yes|yes|yes</t>
  </si>
  <si>
    <t xml:space="preserve">B-35</t>
  </si>
  <si>
    <t xml:space="preserve">My bitch fucked another nigga that hurt my feelings !</t>
  </si>
  <si>
    <t xml:space="preserve">this post implies that disrespects black people</t>
  </si>
  <si>
    <t xml:space="preserve">this post implies that women are promiscuous</t>
  </si>
  <si>
    <t xml:space="preserve">w_no|w_yes|yes</t>
  </si>
  <si>
    <t xml:space="preserve">A-14</t>
  </si>
  <si>
    <t xml:space="preserve">What’s faster than a speeding bullet? A Jew with a coupon.</t>
  </si>
  <si>
    <t xml:space="preserve">this post implies that jews are miserly</t>
  </si>
  <si>
    <t xml:space="preserve">this post implies that jews are speeding bullets</t>
  </si>
  <si>
    <t xml:space="preserve">B-38</t>
  </si>
  <si>
    <t xml:space="preserve">what do rednecks do on halloween ? pump kin</t>
  </si>
  <si>
    <t xml:space="preserve">this post implies that poor folks are dumb</t>
  </si>
  <si>
    <t xml:space="preserve">this post implies that rednecks celebrate halloween</t>
  </si>
  <si>
    <t xml:space="preserve">yes|no|yes</t>
  </si>
  <si>
    <t xml:space="preserve">A-07</t>
  </si>
  <si>
    <t xml:space="preserve">where do muslims go when they die ? all over the place .</t>
  </si>
  <si>
    <t xml:space="preserve">this post implies that muslims are violent?</t>
  </si>
  <si>
    <t xml:space="preserve">this post implies that muslims are useless</t>
  </si>
  <si>
    <t xml:space="preserve">no|w_no|no</t>
  </si>
  <si>
    <t xml:space="preserve">A-45</t>
  </si>
  <si>
    <t xml:space="preserve">How do you starve a black man? Hide his food stamp under his work boot.</t>
  </si>
  <si>
    <t xml:space="preserve">this post implies that black folks are poor</t>
  </si>
  <si>
    <t xml:space="preserve">this post implies that black folks hide their food stamps</t>
  </si>
  <si>
    <t xml:space="preserve">A-36</t>
  </si>
  <si>
    <t xml:space="preserve">You much more refined than other Black girls.</t>
  </si>
  <si>
    <t xml:space="preserve">this post implies that black people are ugly</t>
  </si>
  <si>
    <t xml:space="preserve">this post implies that black women are much smarter</t>
  </si>
  <si>
    <t xml:space="preserve">B-05</t>
  </si>
  <si>
    <t xml:space="preserve">I like my wife how I like my fish Battered</t>
  </si>
  <si>
    <t xml:space="preserve">this post implies that violence against woman is funny</t>
  </si>
  <si>
    <t xml:space="preserve">this post implies that women are often abused</t>
  </si>
  <si>
    <t xml:space="preserve">A-25</t>
  </si>
  <si>
    <t xml:space="preserve">What's the difference between myself, a nigger and a ball? I don't want to hang a ball</t>
  </si>
  <si>
    <t xml:space="preserve">this post implies that black folks are still seen as slaves</t>
  </si>
  <si>
    <t xml:space="preserve">this post implies that black folks are ball-like</t>
  </si>
  <si>
    <t xml:space="preserve">B-09</t>
  </si>
  <si>
    <t xml:space="preserve">this post implies that violence is a normal occurrence in Morocco</t>
  </si>
  <si>
    <t xml:space="preserve">B-03</t>
  </si>
  <si>
    <t xml:space="preserve">What’s the difference between jam and jelly? I can’t jelly my cock down a girls throat.</t>
  </si>
  <si>
    <t xml:space="preserve">this post implies that women can be treated as objects</t>
  </si>
  <si>
    <t xml:space="preserve">B-46</t>
  </si>
  <si>
    <t xml:space="preserve">The Klan is the greatest thing to happen to this country and it will take this country back once again .</t>
  </si>
  <si>
    <t xml:space="preserve">this post implies that people of color are inferior to whites</t>
  </si>
  <si>
    <t xml:space="preserve">this post implies that the klan is the greatest thing to happen to this country</t>
  </si>
  <si>
    <t xml:space="preserve">A-05</t>
  </si>
  <si>
    <t xml:space="preserve">this post implies that aspergers are crazy</t>
  </si>
  <si>
    <t xml:space="preserve">B-25</t>
  </si>
  <si>
    <t xml:space="preserve">this post implies that minors can be physically abused</t>
  </si>
  <si>
    <t xml:space="preserve">w_no|yes|yes</t>
  </si>
  <si>
    <t xml:space="preserve">A-38</t>
  </si>
  <si>
    <t xml:space="preserve">I had a black tell me once that nothing scares a black more than a white man and his big dog .</t>
  </si>
  <si>
    <t xml:space="preserve">this post implies that black folks fear white people.</t>
  </si>
  <si>
    <t xml:space="preserve">this post implies that black folks are dangerous</t>
  </si>
  <si>
    <t xml:space="preserve">B-45</t>
  </si>
  <si>
    <t xml:space="preserve">what do you do when a autistic / downsyndrome kid is in the bathtub ? let them drown .</t>
  </si>
  <si>
    <t xml:space="preserve">this post implies that mentally disabled folks deserve to be killed</t>
  </si>
  <si>
    <t xml:space="preserve">this post implies that autistic kids are stupid</t>
  </si>
  <si>
    <t xml:space="preserve">w_no|yes|w_yes</t>
  </si>
  <si>
    <t xml:space="preserve">B-30</t>
  </si>
  <si>
    <t xml:space="preserve">After death, what's the only organ in the female body that stays warm? My penis</t>
  </si>
  <si>
    <t xml:space="preserve">this post implies that women are objects</t>
  </si>
  <si>
    <t xml:space="preserve">A-24</t>
  </si>
  <si>
    <t xml:space="preserve">this post implies that catholics in europe are trash</t>
  </si>
  <si>
    <t xml:space="preserve">B-49</t>
  </si>
  <si>
    <t xml:space="preserve">What do 10,000 battered women all have in common? They just won't listen!</t>
  </si>
  <si>
    <t xml:space="preserve">this post implies that women need to listen to men</t>
  </si>
  <si>
    <t xml:space="preserve">this post implies that women who don't "fall in line" should get beaten</t>
  </si>
  <si>
    <t xml:space="preserve">Itens anotados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</si>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</sst>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BF8F00"/>
        <bgColor rgb="FF8080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70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45" hidden="false" customHeight="true" outlineLevel="0" collapsed="false">
      <c r="A3" s="3" t="s">
        <v>2</v>
      </c>
      <c r="B3" s="3"/>
      <c r="C3" s="3"/>
      <c r="D3" s="3"/>
      <c r="E3" s="3"/>
    </row>
    <row r="4" customFormat="false" ht="30" hidden="false" customHeight="true" outlineLevel="0" collapsed="false">
      <c r="B4" s="4"/>
      <c r="C4" s="4"/>
      <c r="D4" s="4"/>
      <c r="E4" s="4"/>
    </row>
    <row r="5" customFormat="false" ht="30" hidden="false" customHeight="true" outlineLevel="0" collapsed="false">
      <c r="A5" s="5" t="s">
        <v>3</v>
      </c>
      <c r="B5" s="6" t="s">
        <v>4</v>
      </c>
      <c r="C5" s="6"/>
      <c r="D5" s="6"/>
      <c r="E5" s="6"/>
    </row>
    <row r="6" customFormat="false" ht="30" hidden="false" customHeight="true" outlineLevel="0" collapsed="false">
      <c r="A6" s="5" t="s">
        <v>5</v>
      </c>
      <c r="B6" s="6" t="s">
        <v>6</v>
      </c>
      <c r="C6" s="6"/>
      <c r="D6" s="6"/>
      <c r="E6" s="6"/>
    </row>
    <row r="7" customFormat="false" ht="30" hidden="false" customHeight="true" outlineLevel="0" collapsed="false">
      <c r="A7" s="5" t="s">
        <v>7</v>
      </c>
      <c r="B7" s="6" t="s">
        <v>8</v>
      </c>
      <c r="C7" s="6"/>
      <c r="D7" s="6"/>
      <c r="E7" s="6"/>
    </row>
    <row r="8" customFormat="false" ht="30" hidden="false" customHeight="true" outlineLevel="0" collapsed="false">
      <c r="A8" s="5" t="s">
        <v>9</v>
      </c>
      <c r="B8" s="6" t="s">
        <v>10</v>
      </c>
      <c r="C8" s="6"/>
      <c r="D8" s="6"/>
      <c r="E8" s="6"/>
    </row>
    <row r="9" customFormat="false" ht="30" hidden="false" customHeight="true" outlineLevel="0" collapsed="false">
      <c r="A9" s="5" t="s">
        <v>11</v>
      </c>
      <c r="B9" s="6" t="s">
        <v>12</v>
      </c>
      <c r="C9" s="6"/>
      <c r="D9" s="6"/>
      <c r="E9" s="6"/>
    </row>
    <row r="10" customFormat="false" ht="124.6" hidden="false" customHeight="false" outlineLevel="0" collapsed="false">
      <c r="A10" s="5" t="s">
        <v>13</v>
      </c>
      <c r="B10" s="7" t="s">
        <v>14</v>
      </c>
    </row>
    <row r="12" customFormat="false" ht="15" hidden="false" customHeight="false" outlineLevel="0" collapsed="false">
      <c r="A12" s="8" t="s">
        <v>15</v>
      </c>
    </row>
    <row r="13" customFormat="false" ht="30" hidden="false" customHeight="true" outlineLevel="0" collapsed="false">
      <c r="A13" s="9" t="s">
        <v>16</v>
      </c>
      <c r="B13" s="9" t="s">
        <v>17</v>
      </c>
      <c r="C13" s="9" t="s">
        <v>18</v>
      </c>
      <c r="D13" s="9" t="s">
        <v>19</v>
      </c>
      <c r="E13" s="9" t="s">
        <v>20</v>
      </c>
    </row>
    <row r="14" customFormat="false" ht="30" hidden="false" customHeight="true" outlineLevel="0" collapsed="false">
      <c r="A14" s="10" t="s">
        <v>21</v>
      </c>
      <c r="B14" s="11" t="s">
        <v>22</v>
      </c>
      <c r="C14" s="11" t="s">
        <v>23</v>
      </c>
      <c r="D14" s="11" t="s">
        <v>24</v>
      </c>
      <c r="E14" s="11" t="s">
        <v>25</v>
      </c>
    </row>
    <row r="15" customFormat="false" ht="30" hidden="false" customHeight="true" outlineLevel="0" collapsed="false">
      <c r="A15" s="10" t="s">
        <v>26</v>
      </c>
      <c r="B15" s="11" t="s">
        <v>22</v>
      </c>
      <c r="C15" s="11" t="s">
        <v>27</v>
      </c>
      <c r="D15" s="11" t="s">
        <v>28</v>
      </c>
      <c r="E15" s="11" t="s">
        <v>29</v>
      </c>
    </row>
    <row r="16" customFormat="false" ht="30" hidden="false" customHeight="true" outlineLevel="0" collapsed="false">
      <c r="A16" s="10" t="s">
        <v>30</v>
      </c>
      <c r="B16" s="11" t="s">
        <v>22</v>
      </c>
      <c r="C16" s="11" t="s">
        <v>31</v>
      </c>
      <c r="D16" s="11" t="s">
        <v>32</v>
      </c>
      <c r="E16" s="11" t="s">
        <v>33</v>
      </c>
    </row>
    <row r="17" customFormat="false" ht="30" hidden="false" customHeight="true" outlineLevel="0" collapsed="false">
      <c r="A17" s="10" t="s">
        <v>34</v>
      </c>
      <c r="B17" s="11" t="s">
        <v>22</v>
      </c>
      <c r="C17" s="11" t="s">
        <v>35</v>
      </c>
      <c r="D17" s="11" t="s">
        <v>36</v>
      </c>
      <c r="E17" s="11" t="s">
        <v>37</v>
      </c>
    </row>
    <row r="18" customFormat="false" ht="30" hidden="false" customHeight="true" outlineLevel="0" collapsed="false">
      <c r="A18" s="10" t="s">
        <v>38</v>
      </c>
      <c r="B18" s="11" t="s">
        <v>22</v>
      </c>
      <c r="C18" s="11" t="s">
        <v>39</v>
      </c>
      <c r="D18" s="11" t="s">
        <v>40</v>
      </c>
      <c r="E18" s="11"/>
    </row>
    <row r="19" customFormat="false" ht="30" hidden="false" customHeight="true" outlineLevel="0" collapsed="false">
      <c r="A19" s="10" t="s">
        <v>41</v>
      </c>
      <c r="B19" s="11" t="s">
        <v>42</v>
      </c>
      <c r="C19" s="11" t="s">
        <v>43</v>
      </c>
      <c r="D19" s="11" t="s">
        <v>44</v>
      </c>
      <c r="E19" s="11" t="s">
        <v>45</v>
      </c>
    </row>
    <row r="20" customFormat="false" ht="30" hidden="false" customHeight="true" outlineLevel="0" collapsed="false">
      <c r="A20" s="10" t="s">
        <v>46</v>
      </c>
      <c r="B20" s="11" t="s">
        <v>42</v>
      </c>
      <c r="C20" s="11" t="s">
        <v>47</v>
      </c>
      <c r="D20" s="11" t="s">
        <v>48</v>
      </c>
      <c r="E20" s="11" t="s">
        <v>49</v>
      </c>
    </row>
    <row r="21" customFormat="false" ht="30" hidden="false" customHeight="true" outlineLevel="0" collapsed="false">
      <c r="A21" s="10" t="s">
        <v>50</v>
      </c>
      <c r="B21" s="11" t="s">
        <v>42</v>
      </c>
      <c r="C21" s="11" t="s">
        <v>51</v>
      </c>
      <c r="D21" s="11" t="s">
        <v>52</v>
      </c>
      <c r="E21" s="11" t="s">
        <v>53</v>
      </c>
    </row>
    <row r="22" customFormat="false" ht="30" hidden="false" customHeight="true" outlineLevel="0" collapsed="false">
      <c r="A22" s="10" t="s">
        <v>54</v>
      </c>
      <c r="B22" s="11" t="s">
        <v>42</v>
      </c>
      <c r="C22" s="11" t="s">
        <v>55</v>
      </c>
      <c r="D22" s="11" t="s">
        <v>56</v>
      </c>
      <c r="E22" s="11" t="s">
        <v>57</v>
      </c>
    </row>
    <row r="23" customFormat="false" ht="15" hidden="false" customHeight="false" outlineLevel="0" collapsed="false">
      <c r="A23" s="10" t="s">
        <v>58</v>
      </c>
      <c r="B23" s="11" t="s">
        <v>42</v>
      </c>
      <c r="C23" s="11" t="s">
        <v>59</v>
      </c>
      <c r="D23" s="11" t="s">
        <v>40</v>
      </c>
      <c r="E23" s="11"/>
    </row>
    <row r="25" customFormat="false" ht="15" hidden="false" customHeight="false" outlineLevel="0" collapsed="false">
      <c r="A25" s="8" t="s">
        <v>60</v>
      </c>
      <c r="B25" s="4"/>
      <c r="C25" s="4"/>
      <c r="D25" s="4"/>
    </row>
    <row r="26" customFormat="false" ht="15" hidden="false" customHeight="false" outlineLevel="0" collapsed="false">
      <c r="A26" s="5" t="s">
        <v>61</v>
      </c>
      <c r="B26" s="12" t="s">
        <v>62</v>
      </c>
      <c r="C26" s="12"/>
      <c r="D26" s="12"/>
    </row>
    <row r="27" customFormat="false" ht="15" hidden="false" customHeight="false" outlineLevel="0" collapsed="false">
      <c r="A27" s="5" t="s">
        <v>63</v>
      </c>
      <c r="B27" s="12" t="s">
        <v>64</v>
      </c>
      <c r="C27" s="12"/>
      <c r="D27" s="12"/>
    </row>
    <row r="28" customFormat="false" ht="15" hidden="false" customHeight="false" outlineLevel="0" collapsed="false">
      <c r="A28" s="5" t="s">
        <v>65</v>
      </c>
      <c r="B28" s="12" t="s">
        <v>66</v>
      </c>
      <c r="C28" s="12"/>
      <c r="D28" s="12"/>
    </row>
    <row r="29" customFormat="false" ht="15" hidden="false" customHeight="false" outlineLevel="0" collapsed="false">
      <c r="A29" s="5" t="s">
        <v>67</v>
      </c>
      <c r="B29" s="12" t="s">
        <v>68</v>
      </c>
      <c r="C29" s="12"/>
      <c r="D29" s="12"/>
    </row>
    <row r="30" customFormat="false" ht="15" hidden="false" customHeight="false" outlineLevel="0" collapsed="false">
      <c r="A30" s="5" t="s">
        <v>69</v>
      </c>
      <c r="B30" s="13" t="s">
        <v>21</v>
      </c>
      <c r="C30" s="13"/>
      <c r="D30" s="13"/>
    </row>
    <row r="31" customFormat="false" ht="15" hidden="false" customHeight="false" outlineLevel="0" collapsed="false">
      <c r="A31" s="5" t="s">
        <v>70</v>
      </c>
      <c r="B31" s="14" t="s">
        <v>71</v>
      </c>
    </row>
  </sheetData>
  <mergeCells count="13">
    <mergeCell ref="A3:E3"/>
    <mergeCell ref="B4:E4"/>
    <mergeCell ref="B5:E5"/>
    <mergeCell ref="B6:E6"/>
    <mergeCell ref="B7:E7"/>
    <mergeCell ref="B8:E8"/>
    <mergeCell ref="B9:E9"/>
    <mergeCell ref="B25:D25"/>
    <mergeCell ref="B26:D26"/>
    <mergeCell ref="B27:D27"/>
    <mergeCell ref="B28:D28"/>
    <mergeCell ref="B29:D29"/>
    <mergeCell ref="B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48"/>
    <col collapsed="false" customWidth="true" hidden="false" outlineLevel="0" max="6" min="5" style="0" width="32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11" min="9" style="0" width="9"/>
    <col collapsed="false" customWidth="true" hidden="false" outlineLevel="0" max="12" min="12" style="0" width="6"/>
    <col collapsed="false" customWidth="true" hidden="false" outlineLevel="0" max="13" min="13" style="0" width="12"/>
    <col collapsed="false" customWidth="true" hidden="false" outlineLevel="0" max="14" min="14" style="0" width="40"/>
  </cols>
  <sheetData>
    <row r="1" customFormat="false" ht="23.85" hidden="false" customHeight="false" outlineLevel="0" collapsed="false">
      <c r="A1" s="15" t="s">
        <v>72</v>
      </c>
      <c r="B1" s="15" t="s">
        <v>73</v>
      </c>
      <c r="C1" s="15" t="s">
        <v>74</v>
      </c>
      <c r="D1" s="15" t="s">
        <v>75</v>
      </c>
      <c r="E1" s="15" t="s">
        <v>76</v>
      </c>
      <c r="F1" s="15" t="s">
        <v>63</v>
      </c>
      <c r="G1" s="15" t="s">
        <v>77</v>
      </c>
      <c r="H1" s="15" t="s">
        <v>78</v>
      </c>
      <c r="I1" s="15" t="s">
        <v>79</v>
      </c>
      <c r="J1" s="15" t="s">
        <v>80</v>
      </c>
      <c r="K1" s="15" t="s">
        <v>81</v>
      </c>
      <c r="L1" s="15" t="s">
        <v>82</v>
      </c>
      <c r="M1" s="16" t="s">
        <v>83</v>
      </c>
      <c r="N1" s="16" t="s">
        <v>70</v>
      </c>
    </row>
    <row r="2" customFormat="false" ht="60" hidden="false" customHeight="true" outlineLevel="0" collapsed="false">
      <c r="A2" s="11" t="s">
        <v>84</v>
      </c>
      <c r="B2" s="11" t="s">
        <v>22</v>
      </c>
      <c r="C2" s="11" t="s">
        <v>85</v>
      </c>
      <c r="D2" s="11" t="s">
        <v>86</v>
      </c>
      <c r="E2" s="11" t="s">
        <v>87</v>
      </c>
      <c r="F2" s="11" t="s">
        <v>88</v>
      </c>
      <c r="G2" s="17" t="n">
        <v>0</v>
      </c>
      <c r="H2" s="11" t="s">
        <v>89</v>
      </c>
      <c r="I2" s="17" t="n">
        <v>0.556</v>
      </c>
      <c r="J2" s="17" t="n">
        <v>0.5</v>
      </c>
      <c r="K2" s="17" t="n">
        <v>0.571</v>
      </c>
      <c r="L2" s="11" t="n">
        <v>5</v>
      </c>
      <c r="M2" s="18"/>
      <c r="N2" s="18"/>
    </row>
    <row r="3" customFormat="false" ht="60" hidden="false" customHeight="true" outlineLevel="0" collapsed="false">
      <c r="A3" s="19" t="s">
        <v>90</v>
      </c>
      <c r="B3" s="19" t="s">
        <v>42</v>
      </c>
      <c r="C3" s="19" t="s">
        <v>91</v>
      </c>
      <c r="D3" s="19" t="s">
        <v>92</v>
      </c>
      <c r="E3" s="19" t="s">
        <v>93</v>
      </c>
      <c r="F3" s="19" t="s">
        <v>94</v>
      </c>
      <c r="G3" s="20" t="n">
        <v>1</v>
      </c>
      <c r="H3" s="19" t="s">
        <v>95</v>
      </c>
      <c r="I3" s="20" t="n">
        <v>0</v>
      </c>
      <c r="J3" s="20" t="n">
        <v>0</v>
      </c>
      <c r="K3" s="20" t="n">
        <v>0</v>
      </c>
      <c r="L3" s="19" t="n">
        <v>2</v>
      </c>
      <c r="M3" s="18"/>
      <c r="N3" s="18"/>
    </row>
    <row r="4" customFormat="false" ht="60" hidden="false" customHeight="true" outlineLevel="0" collapsed="false">
      <c r="A4" s="11" t="s">
        <v>96</v>
      </c>
      <c r="B4" s="11" t="s">
        <v>22</v>
      </c>
      <c r="C4" s="11" t="s">
        <v>97</v>
      </c>
      <c r="D4" s="11" t="s">
        <v>98</v>
      </c>
      <c r="E4" s="11" t="s">
        <v>99</v>
      </c>
      <c r="F4" s="11" t="s">
        <v>100</v>
      </c>
      <c r="G4" s="17" t="n">
        <v>0</v>
      </c>
      <c r="H4" s="11" t="s">
        <v>89</v>
      </c>
      <c r="I4" s="17" t="n">
        <v>1</v>
      </c>
      <c r="J4" s="17" t="n">
        <v>0.667</v>
      </c>
      <c r="K4" s="17" t="n">
        <v>0.667</v>
      </c>
      <c r="L4" s="11" t="n">
        <v>7</v>
      </c>
      <c r="M4" s="18"/>
      <c r="N4" s="18"/>
    </row>
    <row r="5" customFormat="false" ht="60" hidden="false" customHeight="true" outlineLevel="0" collapsed="false">
      <c r="A5" s="11" t="s">
        <v>101</v>
      </c>
      <c r="B5" s="11" t="s">
        <v>22</v>
      </c>
      <c r="C5" s="11" t="s">
        <v>97</v>
      </c>
      <c r="D5" s="11" t="s">
        <v>102</v>
      </c>
      <c r="E5" s="11" t="s">
        <v>103</v>
      </c>
      <c r="F5" s="11" t="s">
        <v>104</v>
      </c>
      <c r="G5" s="17" t="n">
        <v>0.222</v>
      </c>
      <c r="H5" s="11" t="s">
        <v>105</v>
      </c>
      <c r="I5" s="17" t="n">
        <v>0.556</v>
      </c>
      <c r="J5" s="17" t="n">
        <v>0.5</v>
      </c>
      <c r="K5" s="17" t="n">
        <v>0.5</v>
      </c>
      <c r="L5" s="11" t="n">
        <v>5</v>
      </c>
      <c r="M5" s="18"/>
      <c r="N5" s="18"/>
    </row>
    <row r="6" customFormat="false" ht="60" hidden="false" customHeight="true" outlineLevel="0" collapsed="false">
      <c r="A6" s="19" t="s">
        <v>106</v>
      </c>
      <c r="B6" s="19" t="s">
        <v>42</v>
      </c>
      <c r="C6" s="19" t="s">
        <v>85</v>
      </c>
      <c r="D6" s="19" t="s">
        <v>107</v>
      </c>
      <c r="E6" s="19" t="s">
        <v>93</v>
      </c>
      <c r="F6" s="19" t="s">
        <v>108</v>
      </c>
      <c r="G6" s="20" t="n">
        <v>0.667</v>
      </c>
      <c r="H6" s="19" t="s">
        <v>109</v>
      </c>
      <c r="I6" s="20" t="n">
        <v>1</v>
      </c>
      <c r="J6" s="20" t="n">
        <v>0</v>
      </c>
      <c r="K6" s="20" t="n">
        <v>0</v>
      </c>
      <c r="L6" s="19" t="n">
        <v>2</v>
      </c>
      <c r="M6" s="18"/>
      <c r="N6" s="18"/>
    </row>
    <row r="7" customFormat="false" ht="60" hidden="false" customHeight="true" outlineLevel="0" collapsed="false">
      <c r="A7" s="19" t="s">
        <v>110</v>
      </c>
      <c r="B7" s="19" t="s">
        <v>42</v>
      </c>
      <c r="C7" s="19" t="s">
        <v>111</v>
      </c>
      <c r="D7" s="19" t="s">
        <v>112</v>
      </c>
      <c r="E7" s="19" t="s">
        <v>93</v>
      </c>
      <c r="F7" s="19" t="s">
        <v>113</v>
      </c>
      <c r="G7" s="20" t="n">
        <v>0.667</v>
      </c>
      <c r="H7" s="19" t="s">
        <v>114</v>
      </c>
      <c r="I7" s="20" t="n">
        <v>1</v>
      </c>
      <c r="J7" s="20" t="n">
        <v>0</v>
      </c>
      <c r="K7" s="20" t="n">
        <v>0</v>
      </c>
      <c r="L7" s="19" t="n">
        <v>2</v>
      </c>
      <c r="M7" s="18"/>
      <c r="N7" s="18"/>
    </row>
    <row r="8" customFormat="false" ht="60" hidden="false" customHeight="true" outlineLevel="0" collapsed="false">
      <c r="A8" s="11" t="s">
        <v>115</v>
      </c>
      <c r="B8" s="11" t="s">
        <v>22</v>
      </c>
      <c r="C8" s="11" t="s">
        <v>91</v>
      </c>
      <c r="D8" s="11" t="s">
        <v>116</v>
      </c>
      <c r="E8" s="11" t="s">
        <v>117</v>
      </c>
      <c r="F8" s="11" t="s">
        <v>118</v>
      </c>
      <c r="G8" s="17" t="n">
        <v>0.222</v>
      </c>
      <c r="H8" s="11" t="s">
        <v>119</v>
      </c>
      <c r="I8" s="17" t="n">
        <v>0.556</v>
      </c>
      <c r="J8" s="17" t="n">
        <v>0.5</v>
      </c>
      <c r="K8" s="17" t="n">
        <v>0.5</v>
      </c>
      <c r="L8" s="11" t="n">
        <v>6</v>
      </c>
      <c r="M8" s="18"/>
      <c r="N8" s="18"/>
    </row>
    <row r="9" customFormat="false" ht="60" hidden="false" customHeight="true" outlineLevel="0" collapsed="false">
      <c r="A9" s="11" t="s">
        <v>120</v>
      </c>
      <c r="B9" s="11" t="s">
        <v>22</v>
      </c>
      <c r="C9" s="11" t="s">
        <v>91</v>
      </c>
      <c r="D9" s="11" t="s">
        <v>121</v>
      </c>
      <c r="E9" s="11" t="s">
        <v>62</v>
      </c>
      <c r="F9" s="11" t="s">
        <v>64</v>
      </c>
      <c r="G9" s="17" t="n">
        <v>0</v>
      </c>
      <c r="H9" s="11" t="s">
        <v>89</v>
      </c>
      <c r="I9" s="17" t="n">
        <v>1</v>
      </c>
      <c r="J9" s="17" t="n">
        <v>0.75</v>
      </c>
      <c r="K9" s="17" t="n">
        <v>0.75</v>
      </c>
      <c r="L9" s="11" t="n">
        <v>7</v>
      </c>
      <c r="M9" s="18"/>
      <c r="N9" s="18"/>
    </row>
    <row r="10" customFormat="false" ht="60" hidden="false" customHeight="true" outlineLevel="0" collapsed="false">
      <c r="A10" s="19" t="s">
        <v>122</v>
      </c>
      <c r="B10" s="19" t="s">
        <v>42</v>
      </c>
      <c r="C10" s="19" t="s">
        <v>85</v>
      </c>
      <c r="D10" s="19" t="s">
        <v>123</v>
      </c>
      <c r="E10" s="19" t="s">
        <v>124</v>
      </c>
      <c r="F10" s="19" t="s">
        <v>125</v>
      </c>
      <c r="G10" s="20" t="n">
        <v>0.778</v>
      </c>
      <c r="H10" s="19" t="s">
        <v>126</v>
      </c>
      <c r="I10" s="20" t="n">
        <v>0.556</v>
      </c>
      <c r="J10" s="20" t="n">
        <v>0</v>
      </c>
      <c r="K10" s="20" t="n">
        <v>1</v>
      </c>
      <c r="L10" s="19" t="n">
        <v>6</v>
      </c>
      <c r="M10" s="18"/>
      <c r="N10" s="18"/>
    </row>
    <row r="11" customFormat="false" ht="60" hidden="false" customHeight="true" outlineLevel="0" collapsed="false">
      <c r="A11" s="11" t="s">
        <v>127</v>
      </c>
      <c r="B11" s="11" t="s">
        <v>22</v>
      </c>
      <c r="C11" s="11" t="s">
        <v>91</v>
      </c>
      <c r="D11" s="11" t="s">
        <v>128</v>
      </c>
      <c r="E11" s="11" t="s">
        <v>129</v>
      </c>
      <c r="F11" s="11" t="s">
        <v>130</v>
      </c>
      <c r="G11" s="17" t="n">
        <v>0</v>
      </c>
      <c r="H11" s="11" t="s">
        <v>89</v>
      </c>
      <c r="I11" s="17" t="n">
        <v>0</v>
      </c>
      <c r="J11" s="17" t="n">
        <v>0.667</v>
      </c>
      <c r="K11" s="17" t="n">
        <v>0.75</v>
      </c>
      <c r="L11" s="11" t="n">
        <v>8</v>
      </c>
      <c r="M11" s="18"/>
      <c r="N11" s="18"/>
    </row>
    <row r="12" customFormat="false" ht="60" hidden="false" customHeight="true" outlineLevel="0" collapsed="false">
      <c r="A12" s="11" t="s">
        <v>131</v>
      </c>
      <c r="B12" s="11" t="s">
        <v>22</v>
      </c>
      <c r="C12" s="11" t="s">
        <v>91</v>
      </c>
      <c r="D12" s="11" t="s">
        <v>132</v>
      </c>
      <c r="E12" s="11" t="s">
        <v>133</v>
      </c>
      <c r="F12" s="11" t="s">
        <v>134</v>
      </c>
      <c r="G12" s="17" t="n">
        <v>0</v>
      </c>
      <c r="H12" s="11" t="s">
        <v>89</v>
      </c>
      <c r="I12" s="17" t="n">
        <v>0</v>
      </c>
      <c r="J12" s="17" t="n">
        <v>0.4</v>
      </c>
      <c r="K12" s="17" t="n">
        <v>0.5</v>
      </c>
      <c r="L12" s="11" t="n">
        <v>8</v>
      </c>
      <c r="M12" s="18"/>
      <c r="N12" s="18"/>
    </row>
    <row r="13" customFormat="false" ht="60" hidden="false" customHeight="true" outlineLevel="0" collapsed="false">
      <c r="A13" s="19" t="s">
        <v>135</v>
      </c>
      <c r="B13" s="19" t="s">
        <v>42</v>
      </c>
      <c r="C13" s="19" t="s">
        <v>111</v>
      </c>
      <c r="D13" s="19" t="s">
        <v>136</v>
      </c>
      <c r="E13" s="19" t="s">
        <v>93</v>
      </c>
      <c r="F13" s="19" t="s">
        <v>137</v>
      </c>
      <c r="G13" s="20" t="n">
        <v>0.667</v>
      </c>
      <c r="H13" s="19" t="s">
        <v>138</v>
      </c>
      <c r="I13" s="20" t="n">
        <v>0.222</v>
      </c>
      <c r="J13" s="20" t="n">
        <v>0</v>
      </c>
      <c r="K13" s="20" t="n">
        <v>0</v>
      </c>
      <c r="L13" s="19" t="n">
        <v>2</v>
      </c>
      <c r="M13" s="18"/>
      <c r="N13" s="18"/>
    </row>
    <row r="14" customFormat="false" ht="60" hidden="false" customHeight="true" outlineLevel="0" collapsed="false">
      <c r="A14" s="19" t="s">
        <v>139</v>
      </c>
      <c r="B14" s="19" t="s">
        <v>42</v>
      </c>
      <c r="C14" s="19" t="s">
        <v>97</v>
      </c>
      <c r="D14" s="19" t="s">
        <v>140</v>
      </c>
      <c r="E14" s="19" t="s">
        <v>141</v>
      </c>
      <c r="F14" s="19" t="s">
        <v>142</v>
      </c>
      <c r="G14" s="20" t="n">
        <v>0.778</v>
      </c>
      <c r="H14" s="19" t="s">
        <v>143</v>
      </c>
      <c r="I14" s="20" t="n">
        <v>0.667</v>
      </c>
      <c r="J14" s="20" t="n">
        <v>0</v>
      </c>
      <c r="K14" s="20" t="n">
        <v>0</v>
      </c>
      <c r="L14" s="19" t="n">
        <v>3</v>
      </c>
      <c r="M14" s="18"/>
      <c r="N14" s="18"/>
    </row>
    <row r="15" customFormat="false" ht="60" hidden="false" customHeight="true" outlineLevel="0" collapsed="false">
      <c r="A15" s="11" t="s">
        <v>144</v>
      </c>
      <c r="B15" s="11" t="s">
        <v>22</v>
      </c>
      <c r="C15" s="11" t="s">
        <v>97</v>
      </c>
      <c r="D15" s="11" t="s">
        <v>145</v>
      </c>
      <c r="E15" s="11" t="s">
        <v>146</v>
      </c>
      <c r="F15" s="11" t="s">
        <v>147</v>
      </c>
      <c r="G15" s="17" t="n">
        <v>0</v>
      </c>
      <c r="H15" s="11" t="s">
        <v>89</v>
      </c>
      <c r="I15" s="17" t="n">
        <v>0.667</v>
      </c>
      <c r="J15" s="17" t="n">
        <v>0.462</v>
      </c>
      <c r="K15" s="17" t="n">
        <v>0.462</v>
      </c>
      <c r="L15" s="11" t="n">
        <v>5</v>
      </c>
      <c r="M15" s="18"/>
      <c r="N15" s="18"/>
    </row>
    <row r="16" customFormat="false" ht="60" hidden="false" customHeight="true" outlineLevel="0" collapsed="false">
      <c r="A16" s="19" t="s">
        <v>148</v>
      </c>
      <c r="B16" s="19" t="s">
        <v>42</v>
      </c>
      <c r="C16" s="19" t="s">
        <v>97</v>
      </c>
      <c r="D16" s="19" t="s">
        <v>149</v>
      </c>
      <c r="E16" s="19" t="s">
        <v>93</v>
      </c>
      <c r="F16" s="19" t="s">
        <v>150</v>
      </c>
      <c r="G16" s="20" t="n">
        <v>1</v>
      </c>
      <c r="H16" s="19" t="s">
        <v>95</v>
      </c>
      <c r="I16" s="20" t="n">
        <v>0</v>
      </c>
      <c r="J16" s="20" t="n">
        <v>0</v>
      </c>
      <c r="K16" s="20" t="n">
        <v>0</v>
      </c>
      <c r="L16" s="19" t="n">
        <v>1</v>
      </c>
      <c r="M16" s="18"/>
      <c r="N16" s="18"/>
    </row>
    <row r="17" customFormat="false" ht="60" hidden="false" customHeight="true" outlineLevel="0" collapsed="false">
      <c r="A17" s="11" t="s">
        <v>151</v>
      </c>
      <c r="B17" s="11" t="s">
        <v>22</v>
      </c>
      <c r="C17" s="11" t="s">
        <v>97</v>
      </c>
      <c r="D17" s="11" t="s">
        <v>121</v>
      </c>
      <c r="E17" s="11" t="s">
        <v>62</v>
      </c>
      <c r="F17" s="11" t="s">
        <v>152</v>
      </c>
      <c r="G17" s="17" t="n">
        <v>0</v>
      </c>
      <c r="H17" s="11" t="s">
        <v>89</v>
      </c>
      <c r="I17" s="17" t="n">
        <v>1</v>
      </c>
      <c r="J17" s="17" t="n">
        <v>0.75</v>
      </c>
      <c r="K17" s="17" t="n">
        <v>0.75</v>
      </c>
      <c r="L17" s="11" t="n">
        <v>7</v>
      </c>
      <c r="M17" s="18"/>
      <c r="N17" s="18"/>
    </row>
    <row r="18" customFormat="false" ht="60" hidden="false" customHeight="true" outlineLevel="0" collapsed="false">
      <c r="A18" s="11" t="s">
        <v>153</v>
      </c>
      <c r="B18" s="11" t="s">
        <v>22</v>
      </c>
      <c r="C18" s="11" t="s">
        <v>91</v>
      </c>
      <c r="D18" s="11" t="s">
        <v>154</v>
      </c>
      <c r="E18" s="11" t="s">
        <v>155</v>
      </c>
      <c r="F18" s="11" t="s">
        <v>156</v>
      </c>
      <c r="G18" s="17" t="n">
        <v>0.222</v>
      </c>
      <c r="H18" s="11" t="s">
        <v>119</v>
      </c>
      <c r="I18" s="17" t="n">
        <v>0.333</v>
      </c>
      <c r="J18" s="17" t="n">
        <v>0.444</v>
      </c>
      <c r="K18" s="17" t="n">
        <v>0.444</v>
      </c>
      <c r="L18" s="11" t="n">
        <v>3</v>
      </c>
      <c r="M18" s="18"/>
      <c r="N18" s="18"/>
    </row>
    <row r="19" customFormat="false" ht="60" hidden="false" customHeight="true" outlineLevel="0" collapsed="false">
      <c r="A19" s="11" t="s">
        <v>157</v>
      </c>
      <c r="B19" s="11" t="s">
        <v>22</v>
      </c>
      <c r="C19" s="11" t="s">
        <v>85</v>
      </c>
      <c r="D19" s="11" t="s">
        <v>158</v>
      </c>
      <c r="E19" s="11" t="s">
        <v>159</v>
      </c>
      <c r="F19" s="11" t="s">
        <v>160</v>
      </c>
      <c r="G19" s="17" t="n">
        <v>0</v>
      </c>
      <c r="H19" s="11" t="s">
        <v>89</v>
      </c>
      <c r="I19" s="17" t="n">
        <v>0.889</v>
      </c>
      <c r="J19" s="17" t="n">
        <v>0.4</v>
      </c>
      <c r="K19" s="17" t="n">
        <v>0.4</v>
      </c>
      <c r="L19" s="11" t="n">
        <v>6</v>
      </c>
      <c r="M19" s="18"/>
      <c r="N19" s="18"/>
    </row>
    <row r="20" customFormat="false" ht="60" hidden="false" customHeight="true" outlineLevel="0" collapsed="false">
      <c r="A20" s="19" t="s">
        <v>161</v>
      </c>
      <c r="B20" s="19" t="s">
        <v>42</v>
      </c>
      <c r="C20" s="19" t="s">
        <v>111</v>
      </c>
      <c r="D20" s="19" t="s">
        <v>162</v>
      </c>
      <c r="E20" s="19" t="s">
        <v>93</v>
      </c>
      <c r="F20" s="19" t="s">
        <v>163</v>
      </c>
      <c r="G20" s="20" t="n">
        <v>0.889</v>
      </c>
      <c r="H20" s="19" t="s">
        <v>164</v>
      </c>
      <c r="I20" s="20" t="n">
        <v>1</v>
      </c>
      <c r="J20" s="20" t="n">
        <v>0</v>
      </c>
      <c r="K20" s="20" t="n">
        <v>0</v>
      </c>
      <c r="L20" s="19" t="n">
        <v>2</v>
      </c>
      <c r="M20" s="18"/>
      <c r="N20" s="18"/>
    </row>
    <row r="21" customFormat="false" ht="60" hidden="false" customHeight="true" outlineLevel="0" collapsed="false">
      <c r="A21" s="19" t="s">
        <v>165</v>
      </c>
      <c r="B21" s="19" t="s">
        <v>42</v>
      </c>
      <c r="C21" s="19" t="s">
        <v>85</v>
      </c>
      <c r="D21" s="19" t="s">
        <v>166</v>
      </c>
      <c r="E21" s="19" t="s">
        <v>167</v>
      </c>
      <c r="F21" s="19" t="s">
        <v>168</v>
      </c>
      <c r="G21" s="20" t="n">
        <v>0.778</v>
      </c>
      <c r="H21" s="19" t="s">
        <v>169</v>
      </c>
      <c r="I21" s="20" t="n">
        <v>0.444</v>
      </c>
      <c r="J21" s="20" t="n">
        <v>0</v>
      </c>
      <c r="K21" s="20" t="n">
        <v>0</v>
      </c>
      <c r="L21" s="19" t="n">
        <v>1</v>
      </c>
      <c r="M21" s="18"/>
      <c r="N21" s="18"/>
    </row>
    <row r="22" customFormat="false" ht="60" hidden="false" customHeight="true" outlineLevel="0" collapsed="false">
      <c r="A22" s="11" t="s">
        <v>170</v>
      </c>
      <c r="B22" s="11" t="s">
        <v>22</v>
      </c>
      <c r="C22" s="11" t="s">
        <v>85</v>
      </c>
      <c r="D22" s="11" t="s">
        <v>171</v>
      </c>
      <c r="E22" s="11" t="s">
        <v>172</v>
      </c>
      <c r="F22" s="11" t="s">
        <v>173</v>
      </c>
      <c r="G22" s="17" t="n">
        <v>0</v>
      </c>
      <c r="H22" s="11" t="s">
        <v>89</v>
      </c>
      <c r="I22" s="17" t="n">
        <v>0.333</v>
      </c>
      <c r="J22" s="17" t="n">
        <v>0.444</v>
      </c>
      <c r="K22" s="17" t="n">
        <v>0.444</v>
      </c>
      <c r="L22" s="11" t="n">
        <v>3</v>
      </c>
      <c r="M22" s="18"/>
      <c r="N22" s="18"/>
    </row>
    <row r="23" customFormat="false" ht="60" hidden="false" customHeight="true" outlineLevel="0" collapsed="false">
      <c r="A23" s="19" t="s">
        <v>174</v>
      </c>
      <c r="B23" s="19" t="s">
        <v>42</v>
      </c>
      <c r="C23" s="19" t="s">
        <v>91</v>
      </c>
      <c r="D23" s="19" t="s">
        <v>175</v>
      </c>
      <c r="E23" s="19" t="s">
        <v>176</v>
      </c>
      <c r="F23" s="19" t="s">
        <v>177</v>
      </c>
      <c r="G23" s="20" t="n">
        <v>0.889</v>
      </c>
      <c r="H23" s="19" t="s">
        <v>178</v>
      </c>
      <c r="I23" s="20" t="n">
        <v>0.778</v>
      </c>
      <c r="J23" s="20" t="n">
        <v>0</v>
      </c>
      <c r="K23" s="20" t="n">
        <v>0</v>
      </c>
      <c r="L23" s="19" t="n">
        <v>3</v>
      </c>
      <c r="M23" s="18"/>
      <c r="N23" s="18"/>
    </row>
    <row r="24" customFormat="false" ht="60" hidden="false" customHeight="true" outlineLevel="0" collapsed="false">
      <c r="A24" s="19" t="s">
        <v>179</v>
      </c>
      <c r="B24" s="19" t="s">
        <v>42</v>
      </c>
      <c r="C24" s="19" t="s">
        <v>111</v>
      </c>
      <c r="D24" s="19" t="s">
        <v>180</v>
      </c>
      <c r="E24" s="19" t="s">
        <v>181</v>
      </c>
      <c r="F24" s="19" t="s">
        <v>182</v>
      </c>
      <c r="G24" s="20" t="n">
        <v>0.667</v>
      </c>
      <c r="H24" s="19" t="s">
        <v>183</v>
      </c>
      <c r="I24" s="20" t="n">
        <v>0.778</v>
      </c>
      <c r="J24" s="20" t="n">
        <v>0</v>
      </c>
      <c r="K24" s="20" t="n">
        <v>0.667</v>
      </c>
      <c r="L24" s="19" t="n">
        <v>9</v>
      </c>
      <c r="M24" s="18"/>
      <c r="N24" s="18"/>
    </row>
    <row r="25" customFormat="false" ht="60" hidden="false" customHeight="true" outlineLevel="0" collapsed="false">
      <c r="A25" s="11" t="s">
        <v>184</v>
      </c>
      <c r="B25" s="11" t="s">
        <v>22</v>
      </c>
      <c r="C25" s="11" t="s">
        <v>91</v>
      </c>
      <c r="D25" s="11" t="s">
        <v>185</v>
      </c>
      <c r="E25" s="11" t="s">
        <v>186</v>
      </c>
      <c r="F25" s="11" t="s">
        <v>187</v>
      </c>
      <c r="G25" s="17" t="n">
        <v>0</v>
      </c>
      <c r="H25" s="11" t="s">
        <v>89</v>
      </c>
      <c r="I25" s="17" t="n">
        <v>1</v>
      </c>
      <c r="J25" s="17" t="n">
        <v>0.571</v>
      </c>
      <c r="K25" s="17" t="n">
        <v>0.571</v>
      </c>
      <c r="L25" s="11" t="n">
        <v>6</v>
      </c>
      <c r="M25" s="18"/>
      <c r="N25" s="18"/>
    </row>
    <row r="26" customFormat="false" ht="60" hidden="false" customHeight="true" outlineLevel="0" collapsed="false">
      <c r="A26" s="19" t="s">
        <v>188</v>
      </c>
      <c r="B26" s="19" t="s">
        <v>42</v>
      </c>
      <c r="C26" s="19" t="s">
        <v>91</v>
      </c>
      <c r="D26" s="19" t="s">
        <v>189</v>
      </c>
      <c r="E26" s="19" t="s">
        <v>190</v>
      </c>
      <c r="F26" s="19" t="s">
        <v>191</v>
      </c>
      <c r="G26" s="20" t="n">
        <v>0.667</v>
      </c>
      <c r="H26" s="19" t="s">
        <v>192</v>
      </c>
      <c r="I26" s="20" t="n">
        <v>0.333</v>
      </c>
      <c r="J26" s="20" t="n">
        <v>0</v>
      </c>
      <c r="K26" s="20" t="n">
        <v>0</v>
      </c>
      <c r="L26" s="19" t="n">
        <v>6</v>
      </c>
      <c r="M26" s="18"/>
      <c r="N26" s="18"/>
    </row>
    <row r="27" customFormat="false" ht="60" hidden="false" customHeight="true" outlineLevel="0" collapsed="false">
      <c r="A27" s="11" t="s">
        <v>193</v>
      </c>
      <c r="B27" s="11" t="s">
        <v>22</v>
      </c>
      <c r="C27" s="11" t="s">
        <v>91</v>
      </c>
      <c r="D27" s="11" t="s">
        <v>194</v>
      </c>
      <c r="E27" s="11" t="s">
        <v>195</v>
      </c>
      <c r="F27" s="11" t="s">
        <v>196</v>
      </c>
      <c r="G27" s="17" t="n">
        <v>0.111</v>
      </c>
      <c r="H27" s="11" t="s">
        <v>197</v>
      </c>
      <c r="I27" s="17" t="n">
        <v>0.889</v>
      </c>
      <c r="J27" s="17" t="n">
        <v>0.667</v>
      </c>
      <c r="K27" s="17" t="n">
        <v>0.667</v>
      </c>
      <c r="L27" s="11" t="n">
        <v>11</v>
      </c>
      <c r="M27" s="18"/>
      <c r="N27" s="18"/>
    </row>
    <row r="28" customFormat="false" ht="60" hidden="false" customHeight="true" outlineLevel="0" collapsed="false">
      <c r="A28" s="11" t="s">
        <v>198</v>
      </c>
      <c r="B28" s="11" t="s">
        <v>22</v>
      </c>
      <c r="C28" s="11" t="s">
        <v>91</v>
      </c>
      <c r="D28" s="11" t="s">
        <v>199</v>
      </c>
      <c r="E28" s="11" t="s">
        <v>200</v>
      </c>
      <c r="F28" s="11" t="s">
        <v>201</v>
      </c>
      <c r="G28" s="17" t="n">
        <v>0</v>
      </c>
      <c r="H28" s="11" t="s">
        <v>89</v>
      </c>
      <c r="I28" s="17" t="n">
        <v>0.889</v>
      </c>
      <c r="J28" s="17" t="n">
        <v>0.4</v>
      </c>
      <c r="K28" s="17" t="n">
        <v>0.4</v>
      </c>
      <c r="L28" s="11" t="n">
        <v>6</v>
      </c>
      <c r="M28" s="18"/>
      <c r="N28" s="18"/>
    </row>
    <row r="29" customFormat="false" ht="60" hidden="false" customHeight="true" outlineLevel="0" collapsed="false">
      <c r="A29" s="11" t="s">
        <v>202</v>
      </c>
      <c r="B29" s="11" t="s">
        <v>22</v>
      </c>
      <c r="C29" s="11" t="s">
        <v>85</v>
      </c>
      <c r="D29" s="11" t="s">
        <v>203</v>
      </c>
      <c r="E29" s="11" t="s">
        <v>204</v>
      </c>
      <c r="F29" s="11" t="s">
        <v>205</v>
      </c>
      <c r="G29" s="17" t="n">
        <v>0</v>
      </c>
      <c r="H29" s="11" t="s">
        <v>89</v>
      </c>
      <c r="I29" s="17" t="n">
        <v>0.111</v>
      </c>
      <c r="J29" s="17" t="n">
        <v>0.444</v>
      </c>
      <c r="K29" s="17" t="n">
        <v>0.444</v>
      </c>
      <c r="L29" s="11" t="n">
        <v>3</v>
      </c>
      <c r="M29" s="18"/>
      <c r="N29" s="18"/>
    </row>
    <row r="30" customFormat="false" ht="60" hidden="false" customHeight="true" outlineLevel="0" collapsed="false">
      <c r="A30" s="19" t="s">
        <v>206</v>
      </c>
      <c r="B30" s="19" t="s">
        <v>42</v>
      </c>
      <c r="C30" s="19" t="s">
        <v>91</v>
      </c>
      <c r="D30" s="19" t="s">
        <v>207</v>
      </c>
      <c r="E30" s="19" t="s">
        <v>208</v>
      </c>
      <c r="F30" s="19" t="s">
        <v>209</v>
      </c>
      <c r="G30" s="20" t="n">
        <v>1</v>
      </c>
      <c r="H30" s="19" t="s">
        <v>95</v>
      </c>
      <c r="I30" s="20" t="n">
        <v>1</v>
      </c>
      <c r="J30" s="20" t="n">
        <v>0</v>
      </c>
      <c r="K30" s="20" t="n">
        <v>0.571</v>
      </c>
      <c r="L30" s="19" t="n">
        <v>7</v>
      </c>
      <c r="M30" s="18"/>
      <c r="N30" s="18"/>
    </row>
    <row r="31" customFormat="false" ht="60" hidden="false" customHeight="true" outlineLevel="0" collapsed="false">
      <c r="A31" s="11" t="s">
        <v>210</v>
      </c>
      <c r="B31" s="11" t="s">
        <v>22</v>
      </c>
      <c r="C31" s="11" t="s">
        <v>85</v>
      </c>
      <c r="D31" s="11" t="s">
        <v>211</v>
      </c>
      <c r="E31" s="11" t="s">
        <v>212</v>
      </c>
      <c r="F31" s="11" t="s">
        <v>213</v>
      </c>
      <c r="G31" s="17" t="n">
        <v>0</v>
      </c>
      <c r="H31" s="11" t="s">
        <v>89</v>
      </c>
      <c r="I31" s="17" t="n">
        <v>0.222</v>
      </c>
      <c r="J31" s="17" t="n">
        <v>0.5</v>
      </c>
      <c r="K31" s="17" t="n">
        <v>0.5</v>
      </c>
      <c r="L31" s="11" t="n">
        <v>10</v>
      </c>
      <c r="M31" s="18"/>
      <c r="N31" s="18"/>
    </row>
    <row r="32" customFormat="false" ht="60" hidden="false" customHeight="true" outlineLevel="0" collapsed="false">
      <c r="A32" s="19" t="s">
        <v>214</v>
      </c>
      <c r="B32" s="19" t="s">
        <v>42</v>
      </c>
      <c r="C32" s="19" t="s">
        <v>111</v>
      </c>
      <c r="D32" s="19" t="s">
        <v>175</v>
      </c>
      <c r="E32" s="19" t="s">
        <v>176</v>
      </c>
      <c r="F32" s="19" t="s">
        <v>215</v>
      </c>
      <c r="G32" s="20" t="n">
        <v>0.889</v>
      </c>
      <c r="H32" s="19" t="s">
        <v>178</v>
      </c>
      <c r="I32" s="20" t="n">
        <v>1</v>
      </c>
      <c r="J32" s="20" t="n">
        <v>0</v>
      </c>
      <c r="K32" s="20" t="n">
        <v>0</v>
      </c>
      <c r="L32" s="19" t="n">
        <v>3</v>
      </c>
      <c r="M32" s="18"/>
      <c r="N32" s="18"/>
    </row>
    <row r="33" customFormat="false" ht="60" hidden="false" customHeight="true" outlineLevel="0" collapsed="false">
      <c r="A33" s="19" t="s">
        <v>216</v>
      </c>
      <c r="B33" s="19" t="s">
        <v>42</v>
      </c>
      <c r="C33" s="19" t="s">
        <v>91</v>
      </c>
      <c r="D33" s="19" t="s">
        <v>217</v>
      </c>
      <c r="E33" s="19" t="s">
        <v>93</v>
      </c>
      <c r="F33" s="19" t="s">
        <v>218</v>
      </c>
      <c r="G33" s="20" t="n">
        <v>1</v>
      </c>
      <c r="H33" s="19" t="s">
        <v>95</v>
      </c>
      <c r="I33" s="20" t="n">
        <v>0.333</v>
      </c>
      <c r="J33" s="20" t="n">
        <v>0</v>
      </c>
      <c r="K33" s="20" t="n">
        <v>0</v>
      </c>
      <c r="L33" s="19" t="n">
        <v>2</v>
      </c>
      <c r="M33" s="18"/>
      <c r="N33" s="18"/>
    </row>
    <row r="34" customFormat="false" ht="60" hidden="false" customHeight="true" outlineLevel="0" collapsed="false">
      <c r="A34" s="19" t="s">
        <v>219</v>
      </c>
      <c r="B34" s="19" t="s">
        <v>42</v>
      </c>
      <c r="C34" s="19" t="s">
        <v>91</v>
      </c>
      <c r="D34" s="19" t="s">
        <v>220</v>
      </c>
      <c r="E34" s="19" t="s">
        <v>221</v>
      </c>
      <c r="F34" s="19" t="s">
        <v>222</v>
      </c>
      <c r="G34" s="20" t="n">
        <v>0.667</v>
      </c>
      <c r="H34" s="19" t="s">
        <v>109</v>
      </c>
      <c r="I34" s="20" t="n">
        <v>0.889</v>
      </c>
      <c r="J34" s="20" t="n">
        <v>0.111</v>
      </c>
      <c r="K34" s="20" t="n">
        <v>0.111</v>
      </c>
      <c r="L34" s="19" t="n">
        <v>3</v>
      </c>
      <c r="M34" s="18"/>
      <c r="N34" s="18"/>
    </row>
    <row r="35" customFormat="false" ht="60" hidden="false" customHeight="true" outlineLevel="0" collapsed="false">
      <c r="A35" s="11" t="s">
        <v>223</v>
      </c>
      <c r="B35" s="11" t="s">
        <v>22</v>
      </c>
      <c r="C35" s="11" t="s">
        <v>91</v>
      </c>
      <c r="D35" s="11" t="s">
        <v>102</v>
      </c>
      <c r="E35" s="11" t="s">
        <v>103</v>
      </c>
      <c r="F35" s="11" t="s">
        <v>224</v>
      </c>
      <c r="G35" s="17" t="n">
        <v>0.222</v>
      </c>
      <c r="H35" s="11" t="s">
        <v>105</v>
      </c>
      <c r="I35" s="17" t="n">
        <v>0.444</v>
      </c>
      <c r="J35" s="17" t="n">
        <v>0.75</v>
      </c>
      <c r="K35" s="17" t="n">
        <v>0.75</v>
      </c>
      <c r="L35" s="11" t="n">
        <v>5</v>
      </c>
      <c r="M35" s="18"/>
      <c r="N35" s="18"/>
    </row>
    <row r="36" customFormat="false" ht="60" hidden="false" customHeight="true" outlineLevel="0" collapsed="false">
      <c r="A36" s="19" t="s">
        <v>225</v>
      </c>
      <c r="B36" s="19" t="s">
        <v>42</v>
      </c>
      <c r="C36" s="19" t="s">
        <v>97</v>
      </c>
      <c r="D36" s="19" t="s">
        <v>92</v>
      </c>
      <c r="E36" s="19" t="s">
        <v>93</v>
      </c>
      <c r="F36" s="19" t="s">
        <v>226</v>
      </c>
      <c r="G36" s="20" t="n">
        <v>0.778</v>
      </c>
      <c r="H36" s="19" t="s">
        <v>227</v>
      </c>
      <c r="I36" s="20" t="n">
        <v>0</v>
      </c>
      <c r="J36" s="20" t="n">
        <v>0</v>
      </c>
      <c r="K36" s="20" t="n">
        <v>0</v>
      </c>
      <c r="L36" s="19" t="n">
        <v>2</v>
      </c>
      <c r="M36" s="18"/>
      <c r="N36" s="18"/>
    </row>
    <row r="37" customFormat="false" ht="60" hidden="false" customHeight="true" outlineLevel="0" collapsed="false">
      <c r="A37" s="11" t="s">
        <v>228</v>
      </c>
      <c r="B37" s="11" t="s">
        <v>22</v>
      </c>
      <c r="C37" s="11" t="s">
        <v>97</v>
      </c>
      <c r="D37" s="11" t="s">
        <v>229</v>
      </c>
      <c r="E37" s="11" t="s">
        <v>230</v>
      </c>
      <c r="F37" s="11" t="s">
        <v>231</v>
      </c>
      <c r="G37" s="17" t="n">
        <v>0</v>
      </c>
      <c r="H37" s="11" t="s">
        <v>89</v>
      </c>
      <c r="I37" s="17" t="n">
        <v>0.889</v>
      </c>
      <c r="J37" s="17" t="n">
        <v>0.444</v>
      </c>
      <c r="K37" s="17" t="n">
        <v>0.6</v>
      </c>
      <c r="L37" s="11" t="n">
        <v>5</v>
      </c>
      <c r="M37" s="18"/>
      <c r="N37" s="18"/>
    </row>
    <row r="38" customFormat="false" ht="60" hidden="false" customHeight="true" outlineLevel="0" collapsed="false">
      <c r="A38" s="19" t="s">
        <v>232</v>
      </c>
      <c r="B38" s="19" t="s">
        <v>42</v>
      </c>
      <c r="C38" s="19" t="s">
        <v>97</v>
      </c>
      <c r="D38" s="19" t="s">
        <v>233</v>
      </c>
      <c r="E38" s="19" t="s">
        <v>234</v>
      </c>
      <c r="F38" s="19" t="s">
        <v>235</v>
      </c>
      <c r="G38" s="20" t="n">
        <v>0.667</v>
      </c>
      <c r="H38" s="19" t="s">
        <v>236</v>
      </c>
      <c r="I38" s="20" t="n">
        <v>1</v>
      </c>
      <c r="J38" s="20" t="n">
        <v>0</v>
      </c>
      <c r="K38" s="20" t="n">
        <v>0</v>
      </c>
      <c r="L38" s="19" t="n">
        <v>8</v>
      </c>
      <c r="M38" s="18"/>
      <c r="N38" s="18"/>
    </row>
    <row r="39" customFormat="false" ht="60" hidden="false" customHeight="true" outlineLevel="0" collapsed="false">
      <c r="A39" s="19" t="s">
        <v>237</v>
      </c>
      <c r="B39" s="19" t="s">
        <v>42</v>
      </c>
      <c r="C39" s="19" t="s">
        <v>111</v>
      </c>
      <c r="D39" s="19" t="s">
        <v>238</v>
      </c>
      <c r="E39" s="19" t="s">
        <v>93</v>
      </c>
      <c r="F39" s="19" t="s">
        <v>239</v>
      </c>
      <c r="G39" s="20" t="n">
        <v>0.667</v>
      </c>
      <c r="H39" s="19" t="s">
        <v>236</v>
      </c>
      <c r="I39" s="20" t="n">
        <v>0</v>
      </c>
      <c r="J39" s="20" t="n">
        <v>0</v>
      </c>
      <c r="K39" s="20" t="n">
        <v>0</v>
      </c>
      <c r="L39" s="19" t="n">
        <v>2</v>
      </c>
      <c r="M39" s="18"/>
      <c r="N39" s="18"/>
    </row>
    <row r="40" customFormat="false" ht="60" hidden="false" customHeight="true" outlineLevel="0" collapsed="false">
      <c r="A40" s="11" t="s">
        <v>240</v>
      </c>
      <c r="B40" s="11" t="s">
        <v>22</v>
      </c>
      <c r="C40" s="11" t="s">
        <v>85</v>
      </c>
      <c r="D40" s="11" t="s">
        <v>154</v>
      </c>
      <c r="E40" s="11" t="s">
        <v>155</v>
      </c>
      <c r="F40" s="11" t="s">
        <v>241</v>
      </c>
      <c r="G40" s="17" t="n">
        <v>0</v>
      </c>
      <c r="H40" s="11" t="s">
        <v>89</v>
      </c>
      <c r="I40" s="17" t="n">
        <v>0.222</v>
      </c>
      <c r="J40" s="17" t="n">
        <v>0.5</v>
      </c>
      <c r="K40" s="17" t="n">
        <v>0.5</v>
      </c>
      <c r="L40" s="11" t="n">
        <v>3</v>
      </c>
      <c r="M40" s="18"/>
      <c r="N40" s="18"/>
    </row>
    <row r="41" customFormat="false" ht="60" hidden="false" customHeight="true" outlineLevel="0" collapsed="false">
      <c r="A41" s="19" t="s">
        <v>242</v>
      </c>
      <c r="B41" s="19" t="s">
        <v>42</v>
      </c>
      <c r="C41" s="19" t="s">
        <v>85</v>
      </c>
      <c r="D41" s="19" t="s">
        <v>243</v>
      </c>
      <c r="E41" s="19" t="s">
        <v>244</v>
      </c>
      <c r="F41" s="19" t="s">
        <v>245</v>
      </c>
      <c r="G41" s="20" t="n">
        <v>1</v>
      </c>
      <c r="H41" s="19" t="s">
        <v>95</v>
      </c>
      <c r="I41" s="20" t="n">
        <v>1</v>
      </c>
      <c r="J41" s="20" t="n">
        <v>0.125</v>
      </c>
      <c r="K41" s="20" t="n">
        <v>0.267</v>
      </c>
      <c r="L41" s="19" t="n">
        <v>5</v>
      </c>
      <c r="M41" s="18"/>
      <c r="N41" s="18"/>
    </row>
  </sheetData>
  <dataValidations count="1">
    <dataValidation allowBlank="true" errorStyle="stop" operator="between" showDropDown="false" showErrorMessage="false" showInputMessage="false" sqref="M2:M41" type="list">
      <formula1>codigos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false" outlineLevel="0" collapsed="false">
      <c r="A1" s="5" t="s">
        <v>246</v>
      </c>
      <c r="B1" s="21" t="n">
        <f aca="false">COUNTA(Anotação!M2:M41)</f>
        <v>0</v>
      </c>
    </row>
    <row r="2" customFormat="false" ht="15" hidden="false" customHeight="false" outlineLevel="0" collapsed="false">
      <c r="A2" s="5" t="s">
        <v>247</v>
      </c>
      <c r="B2" s="0" t="n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2026-09-27T07:46:07Z</dcterms:created>
  <dc:creator>openpyxl</dc:creator>
  <dc:description/>
  <dc:language>en-US</dc:language>
  <cp:lastModifiedBy/>
  <dcterms:modified xsi:type="dcterms:W3CDTF">2026-09-27T07:46:07Z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
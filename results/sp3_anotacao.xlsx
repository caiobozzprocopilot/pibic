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Anotação" sheetId="2" state="visible" r:id="rId4"/>
    <sheet name="Resumo" sheetId="3" state="visible" r:id="rId5"/>
  </sheets>
  <definedNames>
    <definedName function="false" hidden="true" localSheetId="1" name="_xlnm._FilterDatabase" vbProcedure="false">Anotação!$A$1:$Q$101</definedName>
    <definedName function="false" hidden="false" name="codigos" vbProcedure="false">Instruções!$A$13:$A$22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Escolha um código da lista (A1–A4, A9 para direção A; B1–B4, B9 para B).</t>
        </r>
      </text>
    </comment>
  </commentList>
</comments>
</file>

<file path=xl/sharedStrings.xml><?xml version="1.0" encoding="utf-8"?>
<sst xmlns="http://schemas.openxmlformats.org/spreadsheetml/2006/main" count="1128" uniqueCount="479">
  <si>
    <t xml:space="preserve">SP3 — Tipologia de divergência entre métricas e julgamento humano</t>
  </si>
  <si>
    <t xml:space="preserve">PIBIC 2026–2027 · amostra de 100 itens do FEB/SBIC (50 por direção) · gerada por src/amostra_sp3.py</t>
  </si>
  <si>
    <t xml:space="preserve">Aviso</t>
  </si>
  <si>
    <t xml:space="preserve">Os posts são do SBIC e contêm linguagem ofensiva e discurso de ódio. É o objeto de estudo; leia com isso em mente.</t>
  </si>
  <si>
    <t xml:space="preserve">O que fazer</t>
  </si>
  <si>
    <t xml:space="preserve">Na aba "Anotação", preencha só as colunas amarelas: CATEGORIA FINAL (lista suspensa) e Observação. A categoria sugerida vem de uma heurística automática: se concordar, escolha o mesmo código; se não, escolha outro.</t>
  </si>
  <si>
    <t xml:space="preserve">Direção A</t>
  </si>
  <si>
    <t xml:space="preserve">Métrica alta, humano baixo (plausibilidade ≤ 1/3, maiores ROUGE-L): a métrica "aprova" o que os humanos reprovam.</t>
  </si>
  <si>
    <t xml:space="preserve">Direção B</t>
  </si>
  <si>
    <t xml:space="preserve">Métrica baixa, humano alto (plausibilidade ≥ 2/3, menores ROUGE-L): a métrica "reprova" o que os humanos aprovam.</t>
  </si>
  <si>
    <t xml:space="preserve">Colunas</t>
  </si>
  <si>
    <t xml:space="preserve">Plausibilidade = média de 3 anotadores (yes = 1, w_yes = 2/3, w_no = 1/3, no = 0). ROUGE-L sem o prefixo "this post implies that". "Múltipla" = contra todas as referências do SBIC.</t>
  </si>
  <si>
    <t xml:space="preserve">Dica</t>
  </si>
  <si>
    <t xml:space="preserve">Se ficar em dúvida entre duas categorias, escolha a principal e cite a outra na Observação. Use A9/B9 só quando nada servir.</t>
  </si>
  <si>
    <t xml:space="preserve">Livro de códigos</t>
  </si>
  <si>
    <t xml:space="preserve">Código</t>
  </si>
  <si>
    <t xml:space="preserve">Direção</t>
  </si>
  <si>
    <t xml:space="preserve">Categoria</t>
  </si>
  <si>
    <t xml:space="preserve">Definição</t>
  </si>
  <si>
    <t xml:space="preserve">Exemplo</t>
  </si>
  <si>
    <t xml:space="preserve">A1</t>
  </si>
  <si>
    <t xml:space="preserve">A</t>
  </si>
  <si>
    <t xml:space="preserve">Grupo certo, estereótipo errado</t>
  </si>
  <si>
    <t xml:space="preserve">Acerta o grupo-alvo, mas atribui a ele um estereótipo diferente do que o post implica.</t>
  </si>
  <si>
    <t xml:space="preserve">ref: black folks are violent · gerada: black folks are stupid</t>
  </si>
  <si>
    <t xml:space="preserve">A2</t>
  </si>
  <si>
    <t xml:space="preserve">Sobreposição só de molde</t>
  </si>
  <si>
    <t xml:space="preserve">As palavras em comum são estrutura ou molde ("is a personal attack", "can't"), não conteúdo.</t>
  </si>
  <si>
    <t xml:space="preserve">ref: this post is a personal attack · gerada: incel redemption story is a personal attack</t>
  </si>
  <si>
    <t xml:space="preserve">A3</t>
  </si>
  <si>
    <t xml:space="preserve">Sentido invertido ou positivo</t>
  </si>
  <si>
    <t xml:space="preserve">Mesmo grupo, mas a gerada diz algo positivo ou oposto ao estereótipo.</t>
  </si>
  <si>
    <t xml:space="preserve">ref: women are cowardly · gerada: women are smarter</t>
  </si>
  <si>
    <t xml:space="preserve">A4</t>
  </si>
  <si>
    <t xml:space="preserve">Referência também implausível</t>
  </si>
  <si>
    <t xml:space="preserve">Os humanos também deram nota baixa à referência: o problema é o item, não a métrica.</t>
  </si>
  <si>
    <t xml:space="preserve">plausibilidade da referência &lt;= 1/3</t>
  </si>
  <si>
    <t xml:space="preserve">A9</t>
  </si>
  <si>
    <t xml:space="preserve">Outro (A)</t>
  </si>
  <si>
    <t xml:space="preserve">Nenhuma das anteriores. Descreva na observação.</t>
  </si>
  <si>
    <t xml:space="preserve">B1</t>
  </si>
  <si>
    <t xml:space="preserve">B</t>
  </si>
  <si>
    <t xml:space="preserve">Paráfrase</t>
  </si>
  <si>
    <t xml:space="preserve">Mesma ideia com outras palavras (inclui nomes diferentes para o mesmo grupo).</t>
  </si>
  <si>
    <t xml:space="preserve">ref: islam is violent · gerada: muslims are bad</t>
  </si>
  <si>
    <t xml:space="preserve">B2</t>
  </si>
  <si>
    <t xml:space="preserve">Explicação genérica</t>
  </si>
  <si>
    <t xml:space="preserve">A referência (ou a gerada) não nomeia grupo nem estereótipo: "personal attack", "trivializes harm".</t>
  </si>
  <si>
    <t xml:space="preserve">ref: this post is a personal attack · gerada: women are objects</t>
  </si>
  <si>
    <t xml:space="preserve">B3</t>
  </si>
  <si>
    <t xml:space="preserve">Implicação alternativa coberta</t>
  </si>
  <si>
    <t xml:space="preserve">Outra leitura válida do post, que aparece em outra referência do SBIC (ROUGE-L múltiplo alto).</t>
  </si>
  <si>
    <t xml:space="preserve">ref: nobody cares if they drown · gerada: mexicans can't swim (ROUGE-L múlt. = 1)</t>
  </si>
  <si>
    <t xml:space="preserve">B4</t>
  </si>
  <si>
    <t xml:space="preserve">Implicação alternativa não coberta</t>
  </si>
  <si>
    <t xml:space="preserve">Outra leitura válida do post, que nenhuma referência do SBIC captura.</t>
  </si>
  <si>
    <t xml:space="preserve">ref: fat folks don't get love · gerada: women are more attractive than men</t>
  </si>
  <si>
    <t xml:space="preserve">B9</t>
  </si>
  <si>
    <t xml:space="preserve">Outro (B)</t>
  </si>
  <si>
    <t xml:space="preserve">Exemplo de linha preenchida</t>
  </si>
  <si>
    <t xml:space="preserve">Referência</t>
  </si>
  <si>
    <t xml:space="preserve">this post implies that black folks are violent</t>
  </si>
  <si>
    <t xml:space="preserve">Gerada</t>
  </si>
  <si>
    <t xml:space="preserve">this post implies that black folks are stupid</t>
  </si>
  <si>
    <t xml:space="preserve">Humano / ROUGE-L</t>
  </si>
  <si>
    <t xml:space="preserve">0,00 / 0,75</t>
  </si>
  <si>
    <t xml:space="preserve">Sugerida</t>
  </si>
  <si>
    <t xml:space="preserve">A1 (mesmo grupo: black, estereótipo diferente)</t>
  </si>
  <si>
    <t xml:space="preserve">CATEGORIA FINAL</t>
  </si>
  <si>
    <t xml:space="preserve">Observação</t>
  </si>
  <si>
    <t xml:space="preserve">Ambos são estereótipos reais sobre o grupo; o post implica violência, não inteligência.</t>
  </si>
  <si>
    <t xml:space="preserve">ID</t>
  </si>
  <si>
    <t xml:space="preserve">Dir.</t>
  </si>
  <si>
    <t xml:space="preserve">Modelo</t>
  </si>
  <si>
    <t xml:space="preserve">Post</t>
  </si>
  <si>
    <t xml:space="preserve">Referência (FEB)</t>
  </si>
  <si>
    <t xml:space="preserve">Plaus. humana</t>
  </si>
  <si>
    <t xml:space="preserve">Notas (3 anot.)</t>
  </si>
  <si>
    <t xml:space="preserve">Plaus. da ref.</t>
  </si>
  <si>
    <t xml:space="preserve">ROUGE-L única</t>
  </si>
  <si>
    <t xml:space="preserve">ROUGE-L múltipla</t>
  </si>
  <si>
    <t xml:space="preserve">Nº refs</t>
  </si>
  <si>
    <t xml:space="preserve">Motivo da sugestão</t>
  </si>
  <si>
    <t xml:space="preserve">Confiança</t>
  </si>
  <si>
    <t xml:space="preserve">A-01</t>
  </si>
  <si>
    <t xml:space="preserve">T5-3B</t>
  </si>
  <si>
    <t xml:space="preserve">I eventually came to the conclusion that jews behave more like a criminal syndicate than any respectable religion .</t>
  </si>
  <si>
    <t xml:space="preserve">this post implies that jewish people are criminals</t>
  </si>
  <si>
    <t xml:space="preserve">this post implies that jewish people are incompetent</t>
  </si>
  <si>
    <t xml:space="preserve">no|no|no</t>
  </si>
  <si>
    <t xml:space="preserve">mesmo grupo (jew), estereótipo diferente</t>
  </si>
  <si>
    <t xml:space="preserve">alta</t>
  </si>
  <si>
    <t xml:space="preserve">A-02</t>
  </si>
  <si>
    <t xml:space="preserve">they say the vegas shooter was a white guy . &lt;repeat&gt; i was betting on black .</t>
  </si>
  <si>
    <t xml:space="preserve">mesmo grupo (black, folk), estereótipo diferente</t>
  </si>
  <si>
    <t xml:space="preserve">A-03</t>
  </si>
  <si>
    <t xml:space="preserve">T5-large</t>
  </si>
  <si>
    <t xml:space="preserve">this post implies that black folks are dumb</t>
  </si>
  <si>
    <t xml:space="preserve">A-04</t>
  </si>
  <si>
    <t xml:space="preserve">GPT-3</t>
  </si>
  <si>
    <t xml:space="preserve">What do you call a smiling black man? Snigger</t>
  </si>
  <si>
    <t xml:space="preserve">this post implies that black folks are niggers</t>
  </si>
  <si>
    <t xml:space="preserve">this post implies that black folks are happy</t>
  </si>
  <si>
    <t xml:space="preserve">no|w_no|no</t>
  </si>
  <si>
    <t xml:space="preserve">mesmo grupo (black, folk); termo positivo na gerada</t>
  </si>
  <si>
    <t xml:space="preserve">média</t>
  </si>
  <si>
    <t xml:space="preserve">A-05</t>
  </si>
  <si>
    <t xml:space="preserve">if i have three cans of mountain dew in one hand and three bags of doritos in the other , what do i have all up ? aspergers .</t>
  </si>
  <si>
    <t xml:space="preserve">this post implies that people with aspergers are crazy</t>
  </si>
  <si>
    <t xml:space="preserve">this post implies that aspergers are crazy</t>
  </si>
  <si>
    <t xml:space="preserve">no|w_yes|no</t>
  </si>
  <si>
    <t xml:space="preserve">mesmo grupo (asperger), estereótipo diferente</t>
  </si>
  <si>
    <t xml:space="preserve">A-06</t>
  </si>
  <si>
    <t xml:space="preserve">T5-base</t>
  </si>
  <si>
    <t xml:space="preserve">RT @daniellle_x3: I swear to god some guys are bigger bitches than girls</t>
  </si>
  <si>
    <t xml:space="preserve">this post implies that women are cowardly</t>
  </si>
  <si>
    <t xml:space="preserve">this post implies that women are smarter</t>
  </si>
  <si>
    <t xml:space="preserve">plausibilidade da referência = 0.00; também tem padrão A3</t>
  </si>
  <si>
    <t xml:space="preserve">A-07</t>
  </si>
  <si>
    <t xml:space="preserve">where do muslims go when they die ? all over the place .</t>
  </si>
  <si>
    <t xml:space="preserve">this post implies that muslims are violent?</t>
  </si>
  <si>
    <t xml:space="preserve">this post implies that muslims are useless</t>
  </si>
  <si>
    <t xml:space="preserve">mesmo grupo (muslim), estereótipo diferente</t>
  </si>
  <si>
    <t xml:space="preserve">A-08</t>
  </si>
  <si>
    <t xml:space="preserve">RT @kxyIx: Females love stealing someone's boyfriend , that's not cute y'all hoes need some morals &amp;amp; life goals</t>
  </si>
  <si>
    <t xml:space="preserve">this post implies that women are hoes</t>
  </si>
  <si>
    <t xml:space="preserve">this post implies that women are inferior</t>
  </si>
  <si>
    <t xml:space="preserve">no|w_no|w_yes</t>
  </si>
  <si>
    <t xml:space="preserve">mesmo grupo (women), estereótipo diferente</t>
  </si>
  <si>
    <t xml:space="preserve">A-09</t>
  </si>
  <si>
    <t xml:space="preserve">this post implies that black people are a waste</t>
  </si>
  <si>
    <t xml:space="preserve">this post implies that black people are sniggers</t>
  </si>
  <si>
    <t xml:space="preserve">plausibilidade da referência = 0.00; também tem padrão A1</t>
  </si>
  <si>
    <t xml:space="preserve">A-10</t>
  </si>
  <si>
    <t xml:space="preserve">Me trying to get fake internet points is just like a black kid meeting his father. It's never gonna happen.</t>
  </si>
  <si>
    <t xml:space="preserve">this post implies that black folks are bad fathers</t>
  </si>
  <si>
    <t xml:space="preserve">this post implies that black folks are exploited</t>
  </si>
  <si>
    <t xml:space="preserve">A-11</t>
  </si>
  <si>
    <t xml:space="preserve">Gattaca = incel redemption story</t>
  </si>
  <si>
    <t xml:space="preserve">this post is a personal attack</t>
  </si>
  <si>
    <t xml:space="preserve">this post implies that incel redemption story is a personal attack</t>
  </si>
  <si>
    <t xml:space="preserve">referência ou gerada usa molde genérico</t>
  </si>
  <si>
    <t xml:space="preserve">A-12</t>
  </si>
  <si>
    <t xml:space="preserve">Why can't black people swim? Because there stupid stinky filthy fucking niggers that can't do shit</t>
  </si>
  <si>
    <t xml:space="preserve">this post implies that black folks can't swim</t>
  </si>
  <si>
    <t xml:space="preserve">this post implies that black folks should just swim.</t>
  </si>
  <si>
    <t xml:space="preserve">A-13</t>
  </si>
  <si>
    <t xml:space="preserve">Wow these jokes are so dark They’re picking cotton.</t>
  </si>
  <si>
    <t xml:space="preserve">this post implies that black folks are all poor</t>
  </si>
  <si>
    <t xml:space="preserve">this post implies that black folks are picking cotton.</t>
  </si>
  <si>
    <t xml:space="preserve">no|no|yes</t>
  </si>
  <si>
    <t xml:space="preserve">plausibilidade da referência = 0.33; também tem padrão A1</t>
  </si>
  <si>
    <t xml:space="preserve">A-14</t>
  </si>
  <si>
    <t xml:space="preserve">What’s faster than a speeding bullet? A Jew with a coupon.</t>
  </si>
  <si>
    <t xml:space="preserve">this post implies that jews are miserly</t>
  </si>
  <si>
    <t xml:space="preserve">this post implies that jews are speeding bullets</t>
  </si>
  <si>
    <t xml:space="preserve">A-15</t>
  </si>
  <si>
    <t xml:space="preserve">what is a jewish pokemon trainer called ? ash .</t>
  </si>
  <si>
    <t xml:space="preserve">this post implies that jews are slaughtered</t>
  </si>
  <si>
    <t xml:space="preserve">this post implies that jews are pokemon trainers</t>
  </si>
  <si>
    <t xml:space="preserve">no|no|w_no</t>
  </si>
  <si>
    <t xml:space="preserve">A-16</t>
  </si>
  <si>
    <t xml:space="preserve">this post implies that jews are like criminals</t>
  </si>
  <si>
    <t xml:space="preserve">this post implies that jews are lesser</t>
  </si>
  <si>
    <t xml:space="preserve">A-17</t>
  </si>
  <si>
    <t xml:space="preserve">Roman Catholics in the US are trash. They give Catholics in Europe a bad name.</t>
  </si>
  <si>
    <t xml:space="preserve">this post implies that catholic folks are trash</t>
  </si>
  <si>
    <t xml:space="preserve">this post implies that catholics are trash</t>
  </si>
  <si>
    <t xml:space="preserve">A-18</t>
  </si>
  <si>
    <t xml:space="preserve">I love gay guys, they're so much fun! I would love to have a gay guy best friend, but lesbians are just annoying.</t>
  </si>
  <si>
    <t xml:space="preserve">this post implies that lesbian women are annoying</t>
  </si>
  <si>
    <t xml:space="preserve">this post implies that lesbians are annoying</t>
  </si>
  <si>
    <t xml:space="preserve">A-19</t>
  </si>
  <si>
    <t xml:space="preserve">Black Now give me my karma goddamit</t>
  </si>
  <si>
    <t xml:space="preserve">this post implies that black people are undeserving</t>
  </si>
  <si>
    <t xml:space="preserve">this post implies that black folks are criminals</t>
  </si>
  <si>
    <t xml:space="preserve">mesmo grupo (black), estereótipo diferente</t>
  </si>
  <si>
    <t xml:space="preserve">A-20</t>
  </si>
  <si>
    <t xml:space="preserve">What do you call it when a gay man busts a nut Fruit shoot</t>
  </si>
  <si>
    <t xml:space="preserve">this post implies that gay men are called fruits</t>
  </si>
  <si>
    <t xml:space="preserve">this post implies that gay men are all gays have aids</t>
  </si>
  <si>
    <t xml:space="preserve">mesmo grupo (gay), estereótipo diferente</t>
  </si>
  <si>
    <t xml:space="preserve">A-21</t>
  </si>
  <si>
    <t xml:space="preserve">What’s the difference between dark jokes and black people? Dark jokes take time to master.</t>
  </si>
  <si>
    <t xml:space="preserve">this post implies that black people are objects</t>
  </si>
  <si>
    <t xml:space="preserve">this post implies that black jokes are masterful</t>
  </si>
  <si>
    <t xml:space="preserve">A-22</t>
  </si>
  <si>
    <t xml:space="preserve">A hit with 5-year-olds @adnan_bahatti55 Don't treat women like an object. It doesn't like it... #JK #NotSexist #SorryNotSorry</t>
  </si>
  <si>
    <t xml:space="preserve">this post implies that women are like objects</t>
  </si>
  <si>
    <t xml:space="preserve">this post implies that women are not sexist</t>
  </si>
  <si>
    <t xml:space="preserve">A-23</t>
  </si>
  <si>
    <t xml:space="preserve">What's the difference between a dead black guy and a prostitute? I stop when I see a prostitute on the side of the road.</t>
  </si>
  <si>
    <t xml:space="preserve">this post implies that black people are inferior</t>
  </si>
  <si>
    <t xml:space="preserve">this post implies that black folks are prostitutes</t>
  </si>
  <si>
    <t xml:space="preserve">A-24</t>
  </si>
  <si>
    <t xml:space="preserve">this post implies that catholics are hypocritical</t>
  </si>
  <si>
    <t xml:space="preserve">this post implies that catholics in europe are trash</t>
  </si>
  <si>
    <t xml:space="preserve">plausibilidade da referência = 0.22; também tem padrão A1</t>
  </si>
  <si>
    <t xml:space="preserve">A-25</t>
  </si>
  <si>
    <t xml:space="preserve">What's the difference between myself, a nigger and a ball? I don't want to hang a ball</t>
  </si>
  <si>
    <t xml:space="preserve">this post implies that black folks are still seen as slaves</t>
  </si>
  <si>
    <t xml:space="preserve">this post implies that black folks are ball-like</t>
  </si>
  <si>
    <t xml:space="preserve">A-26</t>
  </si>
  <si>
    <t xml:space="preserve">How do we know Jesus wasnt black? He turned the water into wine, not Henny</t>
  </si>
  <si>
    <t xml:space="preserve">this post implies that black people are property</t>
  </si>
  <si>
    <t xml:space="preserve">this post implies that black folks are ugly</t>
  </si>
  <si>
    <t xml:space="preserve">A-27</t>
  </si>
  <si>
    <t xml:space="preserve">this post implies that black people are dirty</t>
  </si>
  <si>
    <t xml:space="preserve">this post implies that black folks are funny</t>
  </si>
  <si>
    <t xml:space="preserve">A-28</t>
  </si>
  <si>
    <t xml:space="preserve">What is Webster's dictionary definition for "confusion" ? Fathers day in Harlem   (I didn't use the word black)</t>
  </si>
  <si>
    <t xml:space="preserve">this post implies that black women are promiscuous</t>
  </si>
  <si>
    <t xml:space="preserve">this post implies that black folks are lazy</t>
  </si>
  <si>
    <t xml:space="preserve">no|no|w_yes</t>
  </si>
  <si>
    <t xml:space="preserve">A-29</t>
  </si>
  <si>
    <t xml:space="preserve">the mannequin challenge is n't anything new . black people have been standing around doing nothing for years .</t>
  </si>
  <si>
    <t xml:space="preserve">this post implies that black folks are poor</t>
  </si>
  <si>
    <t xml:space="preserve">this post implies that black people are indecent</t>
  </si>
  <si>
    <t xml:space="preserve">plausibilidade da referência = 0.11; também tem padrão A1</t>
  </si>
  <si>
    <t xml:space="preserve">A-30</t>
  </si>
  <si>
    <t xml:space="preserve">this post implies that people are overeating</t>
  </si>
  <si>
    <t xml:space="preserve">sem padrão reconhecido</t>
  </si>
  <si>
    <t xml:space="preserve">baixa</t>
  </si>
  <si>
    <t xml:space="preserve">A-31</t>
  </si>
  <si>
    <t xml:space="preserve">Women and tissues are similar I take them home, cum in them, than throw them away.</t>
  </si>
  <si>
    <t xml:space="preserve">this post implies that women are disposable</t>
  </si>
  <si>
    <t xml:space="preserve">this post implies that women and tissues are similar</t>
  </si>
  <si>
    <t xml:space="preserve">A-32</t>
  </si>
  <si>
    <t xml:space="preserve">what do rednecks do on halloween ? pump kin</t>
  </si>
  <si>
    <t xml:space="preserve">this post implies that poor folks are dumb</t>
  </si>
  <si>
    <t xml:space="preserve">A-33</t>
  </si>
  <si>
    <t xml:space="preserve">this post implies that gay men are all gays have been busted</t>
  </si>
  <si>
    <t xml:space="preserve">A-34</t>
  </si>
  <si>
    <t xml:space="preserve">this post implies that black folks are all bad</t>
  </si>
  <si>
    <t xml:space="preserve">A-35</t>
  </si>
  <si>
    <t xml:space="preserve">this post implies that black folks are all criminals</t>
  </si>
  <si>
    <t xml:space="preserve">A-36</t>
  </si>
  <si>
    <t xml:space="preserve">You much more refined than other Black girls.</t>
  </si>
  <si>
    <t xml:space="preserve">this post implies that black people are ugly</t>
  </si>
  <si>
    <t xml:space="preserve">this post implies that black women are much smarter</t>
  </si>
  <si>
    <t xml:space="preserve">plausibilidade da referência = 0.11; também tem padrão A3</t>
  </si>
  <si>
    <t xml:space="preserve">A-37</t>
  </si>
  <si>
    <t xml:space="preserve">What's black yellow and screaming? A bus full of niggers going off a cliff</t>
  </si>
  <si>
    <t xml:space="preserve">this post implies that black people are sub-human</t>
  </si>
  <si>
    <t xml:space="preserve">this post implies that black folks are slaves</t>
  </si>
  <si>
    <t xml:space="preserve">A-38</t>
  </si>
  <si>
    <t xml:space="preserve">I had a black tell me once that nothing scares a black more than a white man and his big dog .</t>
  </si>
  <si>
    <t xml:space="preserve">this post implies that black folks fear white people.</t>
  </si>
  <si>
    <t xml:space="preserve">this post implies that black folks are dangerous</t>
  </si>
  <si>
    <t xml:space="preserve">A-39</t>
  </si>
  <si>
    <t xml:space="preserve">A-40</t>
  </si>
  <si>
    <t xml:space="preserve">this post implies that jews are evil</t>
  </si>
  <si>
    <t xml:space="preserve">this post implies that jews are not worthy of life</t>
  </si>
  <si>
    <t xml:space="preserve">A-41</t>
  </si>
  <si>
    <t xml:space="preserve">If men spoke like women they'd be considered clinically insane</t>
  </si>
  <si>
    <t xml:space="preserve">this post implies that women are irrational</t>
  </si>
  <si>
    <t xml:space="preserve">this post implies that women are as insane as men</t>
  </si>
  <si>
    <t xml:space="preserve">A-42</t>
  </si>
  <si>
    <t xml:space="preserve">this post implies that catholics in the us are dirty</t>
  </si>
  <si>
    <t xml:space="preserve">A-43</t>
  </si>
  <si>
    <t xml:space="preserve">Fuck all that talking bitch y u got my name in to mouth</t>
  </si>
  <si>
    <t xml:space="preserve">this post uses a slur against black folks</t>
  </si>
  <si>
    <t xml:space="preserve">A-44</t>
  </si>
  <si>
    <t xml:space="preserve">I plan on putting out a lot of flyers for black history month .. anyone know of any anti black history month flyers ?</t>
  </si>
  <si>
    <t xml:space="preserve">this post implies that black people should be excluded</t>
  </si>
  <si>
    <t xml:space="preserve">this post implies that blacks should be more tolerant</t>
  </si>
  <si>
    <t xml:space="preserve">A-45</t>
  </si>
  <si>
    <t xml:space="preserve">How do you starve a black man? Hide his food stamp under his work boot.</t>
  </si>
  <si>
    <t xml:space="preserve">this post implies that black folks hide their food stamps</t>
  </si>
  <si>
    <t xml:space="preserve">A-46</t>
  </si>
  <si>
    <t xml:space="preserve">What is the difference between a jew and a pizza : I don't like eating pizza</t>
  </si>
  <si>
    <t xml:space="preserve">this post implies that jewish folks are less than human</t>
  </si>
  <si>
    <t xml:space="preserve">this post implies that jewish folks eat pizza</t>
  </si>
  <si>
    <t xml:space="preserve">A-47</t>
  </si>
  <si>
    <t xml:space="preserve">what is the difference between iron man and iron woman ? one is a superhero . other one is a command</t>
  </si>
  <si>
    <t xml:space="preserve">this post implies that women should follow orders</t>
  </si>
  <si>
    <t xml:space="preserve">this post implies that women should not be made famous</t>
  </si>
  <si>
    <t xml:space="preserve">A-48</t>
  </si>
  <si>
    <t xml:space="preserve">On moms this nigga fucked up bringing my family into this</t>
  </si>
  <si>
    <t xml:space="preserve">this post implies that nigga is a bigot</t>
  </si>
  <si>
    <t xml:space="preserve">A-49</t>
  </si>
  <si>
    <t xml:space="preserve">what do you call a nice looking black woman ? hot chocolate</t>
  </si>
  <si>
    <t xml:space="preserve">this post implies that women are objects of sexual attention</t>
  </si>
  <si>
    <t xml:space="preserve">this post implies that black women are ugly</t>
  </si>
  <si>
    <t xml:space="preserve">A-50</t>
  </si>
  <si>
    <t xml:space="preserve">mesmo grupo (folk, jew), estereótipo diferente</t>
  </si>
  <si>
    <t xml:space="preserve">B-01</t>
  </si>
  <si>
    <t xml:space="preserve">What's long and disturbing? The list of minors I touched today.</t>
  </si>
  <si>
    <t xml:space="preserve">this post implies that children can be used for sexual abuse</t>
  </si>
  <si>
    <t xml:space="preserve">yes|yes|yes</t>
  </si>
  <si>
    <t xml:space="preserve">referência genérica (não nomeia grupo/estereótipo)</t>
  </si>
  <si>
    <t xml:space="preserve">B-02</t>
  </si>
  <si>
    <t xml:space="preserve">this post implies that minors are being used for sexual abuse</t>
  </si>
  <si>
    <t xml:space="preserve">B-03</t>
  </si>
  <si>
    <t xml:space="preserve">What’s the difference between jam and jelly? I can’t jelly my cock down a girls throat.</t>
  </si>
  <si>
    <t xml:space="preserve">this post implies that women can be treated as objects</t>
  </si>
  <si>
    <t xml:space="preserve">B-04</t>
  </si>
  <si>
    <t xml:space="preserve">What does a Jewish man do when he wants a drink? Start both world wars.</t>
  </si>
  <si>
    <t xml:space="preserve">this post implies that jews caused the holocaust</t>
  </si>
  <si>
    <t xml:space="preserve">this post implies that jewish folks are troublemakers</t>
  </si>
  <si>
    <t xml:space="preserve">mesmo grupo (jew), palavras diferentes</t>
  </si>
  <si>
    <t xml:space="preserve">B-05</t>
  </si>
  <si>
    <t xml:space="preserve">I like my wife how I like my fish Battered</t>
  </si>
  <si>
    <t xml:space="preserve">this post implies that violence against woman is funny</t>
  </si>
  <si>
    <t xml:space="preserve">this post implies that women are often abused</t>
  </si>
  <si>
    <t xml:space="preserve">mesmo grupo (women), palavras diferentes</t>
  </si>
  <si>
    <t xml:space="preserve">B-06</t>
  </si>
  <si>
    <t xml:space="preserve">how do we know that jesus was n't born in mexico ? because he 'd never have been able to find &lt;number&gt; wise men and a virgin .</t>
  </si>
  <si>
    <t xml:space="preserve">this post implies that mexican folks are promiscuous</t>
  </si>
  <si>
    <t xml:space="preserve">this post implies that mexicans aren't wise</t>
  </si>
  <si>
    <t xml:space="preserve">mesmo grupo (mexican), palavras diferentes</t>
  </si>
  <si>
    <t xml:space="preserve">B-07</t>
  </si>
  <si>
    <t xml:space="preserve">if you play close attention you realize humans are actually unattractive</t>
  </si>
  <si>
    <t xml:space="preserve">this post implies that humans are not attractive</t>
  </si>
  <si>
    <t xml:space="preserve">B-08</t>
  </si>
  <si>
    <t xml:space="preserve">Dem politicians are a rapey weapon of mass destruction and Globalists are still trying to call the shots.</t>
  </si>
  <si>
    <t xml:space="preserve">this post implies that democrats don't have the nation's best interest in mind.</t>
  </si>
  <si>
    <t xml:space="preserve">this post implies that politicians are rapists</t>
  </si>
  <si>
    <t xml:space="preserve">yes|yes|w_yes</t>
  </si>
  <si>
    <t xml:space="preserve">ROUGE-L com múltiplas refs = 0.67</t>
  </si>
  <si>
    <t xml:space="preserve">B-09</t>
  </si>
  <si>
    <t xml:space="preserve">Morocco is a great country Few days ago two Scandinavian girls lost their heads for it.</t>
  </si>
  <si>
    <t xml:space="preserve">this post trivializes harm to victims</t>
  </si>
  <si>
    <t xml:space="preserve">this post implies that violence is a normal occurrence in Morocco</t>
  </si>
  <si>
    <t xml:space="preserve">w_yes|yes|yes</t>
  </si>
  <si>
    <t xml:space="preserve">B-10</t>
  </si>
  <si>
    <t xml:space="preserve">The bitch mentally ill and y'all out here taking her side because she looks beat up. She got jumped . Y'all do anything to hate a man.</t>
  </si>
  <si>
    <t xml:space="preserve">this post implies that mentally ill people are not to be taken seriously.</t>
  </si>
  <si>
    <t xml:space="preserve">B-11</t>
  </si>
  <si>
    <t xml:space="preserve">Either when the last White child is brutally murdered or when the last of our enemies perishes .</t>
  </si>
  <si>
    <t xml:space="preserve">this post implies that white people are superior</t>
  </si>
  <si>
    <t xml:space="preserve">B-12</t>
  </si>
  <si>
    <t xml:space="preserve">After death, what's the only organ in the female body that stays warm? My penis</t>
  </si>
  <si>
    <t xml:space="preserve">this post implies that women are objects</t>
  </si>
  <si>
    <t xml:space="preserve">yes|w_yes|yes</t>
  </si>
  <si>
    <t xml:space="preserve">B-13</t>
  </si>
  <si>
    <t xml:space="preserve">"@valleyhilltops2 @michaelcoren @BernieFarber @BillHun85707092 ""islamophobia"" is nonsense. The ideology of Islam is bad. Plain and simple"</t>
  </si>
  <si>
    <t xml:space="preserve">this post implies that islam is violent</t>
  </si>
  <si>
    <t xml:space="preserve">this post implies that muslims are bad</t>
  </si>
  <si>
    <t xml:space="preserve">mesmo grupo (muslim), palavras diferentes</t>
  </si>
  <si>
    <t xml:space="preserve">B-14</t>
  </si>
  <si>
    <t xml:space="preserve">this post implies that morroco is a bad country</t>
  </si>
  <si>
    <t xml:space="preserve">B-15</t>
  </si>
  <si>
    <t xml:space="preserve">I grew up in small town Southern N.B for a good half of my life , in a region called Kings County , it was 100 % white except for literally 3 black people , and they never mixed with whites ..</t>
  </si>
  <si>
    <t xml:space="preserve">this post implies that black people do not like whites</t>
  </si>
  <si>
    <t xml:space="preserve">this post implies that blacks are the minority</t>
  </si>
  <si>
    <t xml:space="preserve">mesmo grupo (black), palavras diferentes</t>
  </si>
  <si>
    <t xml:space="preserve">B-16</t>
  </si>
  <si>
    <t xml:space="preserve">What’s the difference between Nikolai Tesla and my son? Tesla died a virgin.</t>
  </si>
  <si>
    <t xml:space="preserve">this post implies that sexually active people are not as intelligent as those who are not sexually active</t>
  </si>
  <si>
    <t xml:space="preserve">w_yes|yes|w_yes</t>
  </si>
  <si>
    <t xml:space="preserve">B-17</t>
  </si>
  <si>
    <t xml:space="preserve">Bitches that do anything for niggas they just met make me sick &amp;#129314;</t>
  </si>
  <si>
    <t xml:space="preserve">this post implies that women are promiscuous</t>
  </si>
  <si>
    <t xml:space="preserve">yes|w_yes|w_yes</t>
  </si>
  <si>
    <t xml:space="preserve">B-18</t>
  </si>
  <si>
    <t xml:space="preserve">"@Hillarys_Ego He is a homo and he fucked his son, see my YouTube video, ""Libtarded Celebrities"" please, a must watch #MAGA"</t>
  </si>
  <si>
    <t xml:space="preserve">this post implies that he accuses of sexual assault</t>
  </si>
  <si>
    <t xml:space="preserve">this post implies that gay men are pedophiles</t>
  </si>
  <si>
    <t xml:space="preserve">grupos diferentes e nenhuma referência do SBIC cobre</t>
  </si>
  <si>
    <t xml:space="preserve">B-19</t>
  </si>
  <si>
    <t xml:space="preserve">this post implies that black folks are stupid.</t>
  </si>
  <si>
    <t xml:space="preserve">w_no|yes|yes</t>
  </si>
  <si>
    <t xml:space="preserve">gerada genérica, mas julgada plausível</t>
  </si>
  <si>
    <t xml:space="preserve">B-20</t>
  </si>
  <si>
    <t xml:space="preserve">God, how I want to feel the #cock inside yourself ! Push,don't be shy https://t.co/TZ5BETWOxm https://t.co/PC3W6FJTwj</t>
  </si>
  <si>
    <t xml:space="preserve">this post implies that women are sexual objects</t>
  </si>
  <si>
    <t xml:space="preserve">B-21</t>
  </si>
  <si>
    <t xml:space="preserve">I saw the predator today. Then I snuck in to see the nun. *typical catholic boy</t>
  </si>
  <si>
    <t xml:space="preserve">this post implies that priests molest children</t>
  </si>
  <si>
    <t xml:space="preserve">this post implies that catholics are pedophiles</t>
  </si>
  <si>
    <t xml:space="preserve">mesmo grupo (catholic), palavras diferentes</t>
  </si>
  <si>
    <t xml:space="preserve">B-22</t>
  </si>
  <si>
    <t xml:space="preserve">Even morbidly obese women have higher sexual and romantic value than average and below average men</t>
  </si>
  <si>
    <t xml:space="preserve">this post implies that fat folks don't get love</t>
  </si>
  <si>
    <t xml:space="preserve">this post implies that women are more attractive than men</t>
  </si>
  <si>
    <t xml:space="preserve">B-23</t>
  </si>
  <si>
    <t xml:space="preserve">Grandma:: I always said, if reincarnation exists I want to come back as either a man or a rich man's dog. Me:: Why? Grandma:: *laughs* Because I don't like being a woman! Me:: I like being a woman. Grandma:: Really?</t>
  </si>
  <si>
    <t xml:space="preserve">B-24</t>
  </si>
  <si>
    <t xml:space="preserve">what do you call four mexicans that ca n’t swim ? quatro cinco</t>
  </si>
  <si>
    <t xml:space="preserve">this post implies that nobdy cares if they drown</t>
  </si>
  <si>
    <t xml:space="preserve">this post implies that mexicans can’t swim</t>
  </si>
  <si>
    <t xml:space="preserve">ROUGE-L com múltiplas refs = 1.00</t>
  </si>
  <si>
    <t xml:space="preserve">B-25</t>
  </si>
  <si>
    <t xml:space="preserve">this post implies that minors can be physically abused</t>
  </si>
  <si>
    <t xml:space="preserve">B-26</t>
  </si>
  <si>
    <t xml:space="preserve">what do black people and apples have in common ? they both look great hanging from a tree</t>
  </si>
  <si>
    <t xml:space="preserve">this post implies that we should go back to a time when killing blacks was no big deal.</t>
  </si>
  <si>
    <t xml:space="preserve">w_yes|w_yes|yes</t>
  </si>
  <si>
    <t xml:space="preserve">ROUGE-L com múltiplas refs = 0.50</t>
  </si>
  <si>
    <t xml:space="preserve">B-27</t>
  </si>
  <si>
    <t xml:space="preserve">I ain't gonna let dese fucken jews playa hate me boy</t>
  </si>
  <si>
    <t xml:space="preserve">this post implies that jewish people can be referred to with swear words</t>
  </si>
  <si>
    <t xml:space="preserve">this post implies that jews are inferior</t>
  </si>
  <si>
    <t xml:space="preserve">B-28</t>
  </si>
  <si>
    <t xml:space="preserve">what do you call two homeless people hitting each other with cardboard ? a pillow fight</t>
  </si>
  <si>
    <t xml:space="preserve">this post implies that not having neccesities</t>
  </si>
  <si>
    <t xml:space="preserve">this post implies that homeless people are fighting each other</t>
  </si>
  <si>
    <t xml:space="preserve">B-29</t>
  </si>
  <si>
    <t xml:space="preserve">Switcharoo on yo main bitch me and my NIGGGA hell naw we don't date hoes</t>
  </si>
  <si>
    <t xml:space="preserve">this post implies that black folks are misogynistic</t>
  </si>
  <si>
    <t xml:space="preserve">yes|w_no|w_yes</t>
  </si>
  <si>
    <t xml:space="preserve">B-30</t>
  </si>
  <si>
    <t xml:space="preserve">w_no|yes|w_yes</t>
  </si>
  <si>
    <t xml:space="preserve">B-31</t>
  </si>
  <si>
    <t xml:space="preserve">The Patriarchy is real, men don't experience sexism and other bullshit in this /r/Bisexual thread</t>
  </si>
  <si>
    <t xml:space="preserve">this post implies that men are privileged</t>
  </si>
  <si>
    <t xml:space="preserve">yes|no|yes</t>
  </si>
  <si>
    <t xml:space="preserve">B-32</t>
  </si>
  <si>
    <t xml:space="preserve">PSA: Remember to share the Atomic Blackpill on normiebook and twatter The more normies that see it the more people that are lead to the light</t>
  </si>
  <si>
    <t xml:space="preserve">this post implies that normies are stupid</t>
  </si>
  <si>
    <t xml:space="preserve">w_yes|yes|w_no</t>
  </si>
  <si>
    <t xml:space="preserve">B-33</t>
  </si>
  <si>
    <t xml:space="preserve">this post implies that women are lesser humans</t>
  </si>
  <si>
    <t xml:space="preserve">w_yes|w_yes|w_yes</t>
  </si>
  <si>
    <t xml:space="preserve">B-34</t>
  </si>
  <si>
    <t xml:space="preserve">a rabbi , a priest , and a bitter old man are on a cruise ship . the engines burst into flames and the ship starts to sink . everyone is freaking out and a few passengers start to scream " save the children ! save the children ! " the bitter old man screams " fuck the children ! " the priest says " do you think we have time ? " and the rabbi says " fuck 'em out of what ? "</t>
  </si>
  <si>
    <t xml:space="preserve">this post implies that priests rape children</t>
  </si>
  <si>
    <t xml:space="preserve">yes|yes|no</t>
  </si>
  <si>
    <t xml:space="preserve">B-35</t>
  </si>
  <si>
    <t xml:space="preserve">My bitch fucked another nigga that hurt my feelings !</t>
  </si>
  <si>
    <t xml:space="preserve">this post implies that disrespects black people</t>
  </si>
  <si>
    <t xml:space="preserve">w_no|w_yes|yes</t>
  </si>
  <si>
    <t xml:space="preserve">B-36</t>
  </si>
  <si>
    <t xml:space="preserve">Why did Helen Keller's dog run away when she called it? You'd run too if your name was "rhfghgdfr".</t>
  </si>
  <si>
    <t xml:space="preserve">this post implies that people with disabilities are dumb</t>
  </si>
  <si>
    <t xml:space="preserve">w_yes|w_no|yes</t>
  </si>
  <si>
    <t xml:space="preserve">B-37</t>
  </si>
  <si>
    <t xml:space="preserve">WHY CANT THESE PEOPLE STICK TO ONE FUCKING PLAN AND WHY DONT PEOPLE UNDERSTAND THE CONCEPT OF TIME</t>
  </si>
  <si>
    <t xml:space="preserve">this post implies that people don't respect time</t>
  </si>
  <si>
    <t xml:space="preserve">no|yes|yes</t>
  </si>
  <si>
    <t xml:space="preserve">B-38</t>
  </si>
  <si>
    <t xml:space="preserve">this post implies that rednecks celebrate halloween</t>
  </si>
  <si>
    <t xml:space="preserve">B-39</t>
  </si>
  <si>
    <t xml:space="preserve">I live in New Richmond , Ohio which is almost all White but the kids are brain-washed with Mtv and try to act like the Blacks they watch for hours in rap videos on Mtv .</t>
  </si>
  <si>
    <t xml:space="preserve">this post implies that black people act like mtv portrayals</t>
  </si>
  <si>
    <t xml:space="preserve">this post implies that blacks are bad</t>
  </si>
  <si>
    <t xml:space="preserve">B-40</t>
  </si>
  <si>
    <t xml:space="preserve">why was it bad to be a black jew in w &lt;number&gt; ? you had to stand in the back of the gas chamber</t>
  </si>
  <si>
    <t xml:space="preserve">this post implies that jewish folks are a target of extermination</t>
  </si>
  <si>
    <t xml:space="preserve">this post implies that black people were killed</t>
  </si>
  <si>
    <t xml:space="preserve">B-41</t>
  </si>
  <si>
    <t xml:space="preserve">B-42</t>
  </si>
  <si>
    <t xml:space="preserve">this post implies that people don't understand the concept of time</t>
  </si>
  <si>
    <t xml:space="preserve">B-43</t>
  </si>
  <si>
    <t xml:space="preserve">Statistics have shown When it comes to choosing  breasts vs ass, </t>
  </si>
  <si>
    <t xml:space="preserve">B-44</t>
  </si>
  <si>
    <t xml:space="preserve">The problem is there 's so many white liberal self hating traitors on the same side as the Jews and nonwhites .</t>
  </si>
  <si>
    <t xml:space="preserve">this post implies that liberals only care about minorities</t>
  </si>
  <si>
    <t xml:space="preserve">this post implies that jews and nonwhites are traitors</t>
  </si>
  <si>
    <t xml:space="preserve">B-45</t>
  </si>
  <si>
    <t xml:space="preserve">what do you do when a autistic / downsyndrome kid is in the bathtub ? let them drown .</t>
  </si>
  <si>
    <t xml:space="preserve">this post implies that mentally disabled folks deserve to be killed</t>
  </si>
  <si>
    <t xml:space="preserve">this post implies that autistic kids are stupid</t>
  </si>
  <si>
    <t xml:space="preserve">B-46</t>
  </si>
  <si>
    <t xml:space="preserve">The Klan is the greatest thing to happen to this country and it will take this country back once again .</t>
  </si>
  <si>
    <t xml:space="preserve">this post implies that people of color are inferior to whites</t>
  </si>
  <si>
    <t xml:space="preserve">this post implies that the klan is the greatest thing to happen to this country</t>
  </si>
  <si>
    <t xml:space="preserve">B-47</t>
  </si>
  <si>
    <t xml:space="preserve">What do you call a crippled person doing Judo? Partial Arts.</t>
  </si>
  <si>
    <t xml:space="preserve">this post implies that disabled people can't do martial arts</t>
  </si>
  <si>
    <t xml:space="preserve">this post implies that disabled folks are not as good as able-bodied folks</t>
  </si>
  <si>
    <t xml:space="preserve">mesmo grupo (disabled), palavras diferentes</t>
  </si>
  <si>
    <t xml:space="preserve">B-48</t>
  </si>
  <si>
    <t xml:space="preserve">What do 10,000 battered women all have in common? They just won't listen!</t>
  </si>
  <si>
    <t xml:space="preserve">this post implies that women need to listen to men</t>
  </si>
  <si>
    <t xml:space="preserve">this post implies that women who don't "fall in line" should get beaten</t>
  </si>
  <si>
    <t xml:space="preserve">B-49</t>
  </si>
  <si>
    <t xml:space="preserve">B-50</t>
  </si>
  <si>
    <t xml:space="preserve">The British government who throw people in jail for posting mean word's on the internet now want returning moslems who fought with ISIS to not  face jail &amp; to be reintergrated into society.What could possibly go wrong?</t>
  </si>
  <si>
    <t xml:space="preserve">this post implies that the british government is too lenient on terrorists</t>
  </si>
  <si>
    <t xml:space="preserve">Resumo da anotação (atualiza sozinho)</t>
  </si>
  <si>
    <t xml:space="preserve">Itens anotados</t>
  </si>
  <si>
    <t xml:space="preserve">Progresso</t>
  </si>
  <si>
    <t xml:space="preserve">Concordância com a sugestão</t>
  </si>
  <si>
    <t xml:space="preserve">Só conta itens já anotados.</t>
  </si>
  <si>
    <t xml:space="preserve">Sugeridas</t>
  </si>
  <si>
    <t xml:space="preserve">Final</t>
  </si>
  <si>
    <t xml:space="preserve">% da direção (final)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</si>
</sst>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General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/>
      <c r="D4" s="4"/>
      <c r="E4" s="4"/>
    </row>
    <row r="5" customFormat="false" ht="30" hidden="false" customHeight="true" outlineLevel="0" collapsed="false">
      <c r="A5" s="3" t="s">
        <v>4</v>
      </c>
      <c r="B5" s="4" t="s">
        <v>5</v>
      </c>
      <c r="C5" s="4"/>
      <c r="D5" s="4"/>
      <c r="E5" s="4"/>
    </row>
    <row r="6" customFormat="false" ht="30" hidden="false" customHeight="true" outlineLevel="0" collapsed="false">
      <c r="A6" s="3" t="s">
        <v>6</v>
      </c>
      <c r="B6" s="4" t="s">
        <v>7</v>
      </c>
      <c r="C6" s="4"/>
      <c r="D6" s="4"/>
      <c r="E6" s="4"/>
    </row>
    <row r="7" customFormat="false" ht="30" hidden="false" customHeight="true" outlineLevel="0" collapsed="false">
      <c r="A7" s="3" t="s">
        <v>8</v>
      </c>
      <c r="B7" s="4" t="s">
        <v>9</v>
      </c>
      <c r="C7" s="4"/>
      <c r="D7" s="4"/>
      <c r="E7" s="4"/>
    </row>
    <row r="8" customFormat="false" ht="30" hidden="false" customHeight="true" outlineLevel="0" collapsed="false">
      <c r="A8" s="3" t="s">
        <v>10</v>
      </c>
      <c r="B8" s="4" t="s">
        <v>11</v>
      </c>
      <c r="C8" s="4"/>
      <c r="D8" s="4"/>
      <c r="E8" s="4"/>
    </row>
    <row r="9" customFormat="false" ht="30" hidden="false" customHeight="true" outlineLevel="0" collapsed="false">
      <c r="A9" s="3" t="s">
        <v>12</v>
      </c>
      <c r="B9" s="4" t="s">
        <v>13</v>
      </c>
      <c r="C9" s="4"/>
      <c r="D9" s="4"/>
      <c r="E9" s="4"/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</row>
    <row r="13" customFormat="false" ht="30" hidden="false" customHeight="true" outlineLevel="0" collapsed="false">
      <c r="A13" s="7" t="s">
        <v>20</v>
      </c>
      <c r="B13" s="8" t="s">
        <v>21</v>
      </c>
      <c r="C13" s="8" t="s">
        <v>22</v>
      </c>
      <c r="D13" s="8" t="s">
        <v>23</v>
      </c>
      <c r="E13" s="8" t="s">
        <v>24</v>
      </c>
    </row>
    <row r="14" customFormat="false" ht="30" hidden="false" customHeight="true" outlineLevel="0" collapsed="false">
      <c r="A14" s="7" t="s">
        <v>25</v>
      </c>
      <c r="B14" s="8" t="s">
        <v>21</v>
      </c>
      <c r="C14" s="8" t="s">
        <v>26</v>
      </c>
      <c r="D14" s="8" t="s">
        <v>27</v>
      </c>
      <c r="E14" s="8" t="s">
        <v>28</v>
      </c>
    </row>
    <row r="15" customFormat="false" ht="30" hidden="false" customHeight="true" outlineLevel="0" collapsed="false">
      <c r="A15" s="7" t="s">
        <v>29</v>
      </c>
      <c r="B15" s="8" t="s">
        <v>21</v>
      </c>
      <c r="C15" s="8" t="s">
        <v>30</v>
      </c>
      <c r="D15" s="8" t="s">
        <v>31</v>
      </c>
      <c r="E15" s="8" t="s">
        <v>32</v>
      </c>
    </row>
    <row r="16" customFormat="false" ht="30" hidden="false" customHeight="true" outlineLevel="0" collapsed="false">
      <c r="A16" s="7" t="s">
        <v>33</v>
      </c>
      <c r="B16" s="8" t="s">
        <v>21</v>
      </c>
      <c r="C16" s="8" t="s">
        <v>34</v>
      </c>
      <c r="D16" s="8" t="s">
        <v>35</v>
      </c>
      <c r="E16" s="8" t="s">
        <v>36</v>
      </c>
    </row>
    <row r="17" customFormat="false" ht="30" hidden="false" customHeight="true" outlineLevel="0" collapsed="false">
      <c r="A17" s="7" t="s">
        <v>37</v>
      </c>
      <c r="B17" s="8" t="s">
        <v>21</v>
      </c>
      <c r="C17" s="8" t="s">
        <v>38</v>
      </c>
      <c r="D17" s="8" t="s">
        <v>39</v>
      </c>
      <c r="E17" s="8"/>
    </row>
    <row r="18" customFormat="false" ht="30" hidden="false" customHeight="true" outlineLevel="0" collapsed="false">
      <c r="A18" s="7" t="s">
        <v>40</v>
      </c>
      <c r="B18" s="8" t="s">
        <v>41</v>
      </c>
      <c r="C18" s="8" t="s">
        <v>42</v>
      </c>
      <c r="D18" s="8" t="s">
        <v>43</v>
      </c>
      <c r="E18" s="8" t="s">
        <v>44</v>
      </c>
    </row>
    <row r="19" customFormat="false" ht="30" hidden="false" customHeight="true" outlineLevel="0" collapsed="false">
      <c r="A19" s="7" t="s">
        <v>45</v>
      </c>
      <c r="B19" s="8" t="s">
        <v>41</v>
      </c>
      <c r="C19" s="8" t="s">
        <v>46</v>
      </c>
      <c r="D19" s="8" t="s">
        <v>47</v>
      </c>
      <c r="E19" s="8" t="s">
        <v>48</v>
      </c>
    </row>
    <row r="20" customFormat="false" ht="30" hidden="false" customHeight="true" outlineLevel="0" collapsed="false">
      <c r="A20" s="7" t="s">
        <v>49</v>
      </c>
      <c r="B20" s="8" t="s">
        <v>41</v>
      </c>
      <c r="C20" s="8" t="s">
        <v>50</v>
      </c>
      <c r="D20" s="8" t="s">
        <v>51</v>
      </c>
      <c r="E20" s="8" t="s">
        <v>52</v>
      </c>
    </row>
    <row r="21" customFormat="false" ht="30" hidden="false" customHeight="true" outlineLevel="0" collapsed="false">
      <c r="A21" s="7" t="s">
        <v>53</v>
      </c>
      <c r="B21" s="8" t="s">
        <v>41</v>
      </c>
      <c r="C21" s="8" t="s">
        <v>54</v>
      </c>
      <c r="D21" s="8" t="s">
        <v>55</v>
      </c>
      <c r="E21" s="8" t="s">
        <v>56</v>
      </c>
    </row>
    <row r="22" customFormat="false" ht="30" hidden="false" customHeight="true" outlineLevel="0" collapsed="false">
      <c r="A22" s="7" t="s">
        <v>57</v>
      </c>
      <c r="B22" s="8" t="s">
        <v>41</v>
      </c>
      <c r="C22" s="8" t="s">
        <v>58</v>
      </c>
      <c r="D22" s="8" t="s">
        <v>39</v>
      </c>
      <c r="E22" s="8"/>
    </row>
    <row r="24" customFormat="false" ht="15" hidden="false" customHeight="false" outlineLevel="0" collapsed="false">
      <c r="A24" s="5" t="s">
        <v>59</v>
      </c>
    </row>
    <row r="25" customFormat="false" ht="15" hidden="false" customHeight="false" outlineLevel="0" collapsed="false">
      <c r="A25" s="3" t="s">
        <v>60</v>
      </c>
      <c r="B25" s="9" t="s">
        <v>61</v>
      </c>
      <c r="C25" s="9"/>
      <c r="D25" s="9"/>
    </row>
    <row r="26" customFormat="false" ht="15" hidden="false" customHeight="false" outlineLevel="0" collapsed="false">
      <c r="A26" s="3" t="s">
        <v>62</v>
      </c>
      <c r="B26" s="9" t="s">
        <v>63</v>
      </c>
      <c r="C26" s="9"/>
      <c r="D26" s="9"/>
    </row>
    <row r="27" customFormat="false" ht="15" hidden="false" customHeight="false" outlineLevel="0" collapsed="false">
      <c r="A27" s="3" t="s">
        <v>64</v>
      </c>
      <c r="B27" s="9" t="s">
        <v>65</v>
      </c>
      <c r="C27" s="9"/>
      <c r="D27" s="9"/>
    </row>
    <row r="28" customFormat="false" ht="15" hidden="false" customHeight="false" outlineLevel="0" collapsed="false">
      <c r="A28" s="3" t="s">
        <v>66</v>
      </c>
      <c r="B28" s="9" t="s">
        <v>67</v>
      </c>
      <c r="C28" s="9"/>
      <c r="D28" s="9"/>
    </row>
    <row r="29" customFormat="false" ht="15" hidden="false" customHeight="false" outlineLevel="0" collapsed="false">
      <c r="A29" s="3" t="s">
        <v>68</v>
      </c>
      <c r="B29" s="10" t="s">
        <v>20</v>
      </c>
      <c r="C29" s="10"/>
      <c r="D29" s="10"/>
    </row>
    <row r="30" customFormat="false" ht="15" hidden="false" customHeight="false" outlineLevel="0" collapsed="false">
      <c r="A30" s="3" t="s">
        <v>69</v>
      </c>
      <c r="B30" s="10" t="s">
        <v>70</v>
      </c>
      <c r="C30" s="10"/>
      <c r="D30" s="10"/>
    </row>
  </sheetData>
  <mergeCells count="12">
    <mergeCell ref="B4:E4"/>
    <mergeCell ref="B5:E5"/>
    <mergeCell ref="B6:E6"/>
    <mergeCell ref="B7:E7"/>
    <mergeCell ref="B8:E8"/>
    <mergeCell ref="B9:E9"/>
    <mergeCell ref="B25:D25"/>
    <mergeCell ref="B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6" min="5" style="0" width="3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1" min="9" style="0" width="9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6"/>
  </cols>
  <sheetData>
    <row r="1" customFormat="false" ht="31.5" hidden="false" customHeight="true" outlineLevel="0" collapsed="false">
      <c r="A1" s="11" t="s">
        <v>71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62</v>
      </c>
      <c r="G1" s="11" t="s">
        <v>76</v>
      </c>
      <c r="H1" s="11" t="s">
        <v>77</v>
      </c>
      <c r="I1" s="11" t="s">
        <v>78</v>
      </c>
      <c r="J1" s="11" t="s">
        <v>79</v>
      </c>
      <c r="K1" s="11" t="s">
        <v>80</v>
      </c>
      <c r="L1" s="11" t="s">
        <v>81</v>
      </c>
      <c r="M1" s="11" t="s">
        <v>66</v>
      </c>
      <c r="N1" s="11" t="s">
        <v>82</v>
      </c>
      <c r="O1" s="11" t="s">
        <v>83</v>
      </c>
      <c r="P1" s="12" t="s">
        <v>68</v>
      </c>
      <c r="Q1" s="12" t="s">
        <v>69</v>
      </c>
    </row>
    <row r="2" customFormat="false" ht="60" hidden="false" customHeight="true" outlineLevel="0" collapsed="false">
      <c r="A2" s="8" t="s">
        <v>84</v>
      </c>
      <c r="B2" s="8" t="s">
        <v>21</v>
      </c>
      <c r="C2" s="8" t="s">
        <v>85</v>
      </c>
      <c r="D2" s="8" t="s">
        <v>86</v>
      </c>
      <c r="E2" s="8" t="s">
        <v>87</v>
      </c>
      <c r="F2" s="8" t="s">
        <v>88</v>
      </c>
      <c r="G2" s="13" t="n">
        <v>0</v>
      </c>
      <c r="H2" s="8" t="s">
        <v>89</v>
      </c>
      <c r="I2" s="13" t="n">
        <v>1</v>
      </c>
      <c r="J2" s="13" t="n">
        <v>0.75</v>
      </c>
      <c r="K2" s="13" t="n">
        <v>0.75</v>
      </c>
      <c r="L2" s="14" t="n">
        <v>7</v>
      </c>
      <c r="M2" s="8" t="s">
        <v>20</v>
      </c>
      <c r="N2" s="8" t="s">
        <v>90</v>
      </c>
      <c r="O2" s="8" t="s">
        <v>91</v>
      </c>
      <c r="P2" s="15"/>
      <c r="Q2" s="15"/>
    </row>
    <row r="3" customFormat="false" ht="60" hidden="false" customHeight="true" outlineLevel="0" collapsed="false">
      <c r="A3" s="8" t="s">
        <v>92</v>
      </c>
      <c r="B3" s="8" t="s">
        <v>21</v>
      </c>
      <c r="C3" s="8" t="s">
        <v>85</v>
      </c>
      <c r="D3" s="8" t="s">
        <v>93</v>
      </c>
      <c r="E3" s="8" t="s">
        <v>61</v>
      </c>
      <c r="F3" s="8" t="s">
        <v>63</v>
      </c>
      <c r="G3" s="13" t="n">
        <v>0</v>
      </c>
      <c r="H3" s="8" t="s">
        <v>89</v>
      </c>
      <c r="I3" s="13" t="n">
        <v>1</v>
      </c>
      <c r="J3" s="13" t="n">
        <v>0.75</v>
      </c>
      <c r="K3" s="13" t="n">
        <v>0.75</v>
      </c>
      <c r="L3" s="14" t="n">
        <v>7</v>
      </c>
      <c r="M3" s="8" t="s">
        <v>20</v>
      </c>
      <c r="N3" s="8" t="s">
        <v>94</v>
      </c>
      <c r="O3" s="8" t="s">
        <v>91</v>
      </c>
      <c r="P3" s="15"/>
      <c r="Q3" s="15"/>
    </row>
    <row r="4" customFormat="false" ht="60" hidden="false" customHeight="true" outlineLevel="0" collapsed="false">
      <c r="A4" s="8" t="s">
        <v>95</v>
      </c>
      <c r="B4" s="8" t="s">
        <v>21</v>
      </c>
      <c r="C4" s="8" t="s">
        <v>96</v>
      </c>
      <c r="D4" s="8" t="s">
        <v>93</v>
      </c>
      <c r="E4" s="8" t="s">
        <v>61</v>
      </c>
      <c r="F4" s="8" t="s">
        <v>97</v>
      </c>
      <c r="G4" s="13" t="n">
        <v>0</v>
      </c>
      <c r="H4" s="8" t="s">
        <v>89</v>
      </c>
      <c r="I4" s="13" t="n">
        <v>1</v>
      </c>
      <c r="J4" s="13" t="n">
        <v>0.75</v>
      </c>
      <c r="K4" s="13" t="n">
        <v>0.75</v>
      </c>
      <c r="L4" s="14" t="n">
        <v>7</v>
      </c>
      <c r="M4" s="8" t="s">
        <v>20</v>
      </c>
      <c r="N4" s="8" t="s">
        <v>94</v>
      </c>
      <c r="O4" s="8" t="s">
        <v>91</v>
      </c>
      <c r="P4" s="15"/>
      <c r="Q4" s="15"/>
    </row>
    <row r="5" customFormat="false" ht="60" hidden="false" customHeight="true" outlineLevel="0" collapsed="false">
      <c r="A5" s="8" t="s">
        <v>98</v>
      </c>
      <c r="B5" s="8" t="s">
        <v>21</v>
      </c>
      <c r="C5" s="8" t="s">
        <v>99</v>
      </c>
      <c r="D5" s="8" t="s">
        <v>100</v>
      </c>
      <c r="E5" s="8" t="s">
        <v>101</v>
      </c>
      <c r="F5" s="8" t="s">
        <v>102</v>
      </c>
      <c r="G5" s="13" t="n">
        <v>0.111</v>
      </c>
      <c r="H5" s="8" t="s">
        <v>103</v>
      </c>
      <c r="I5" s="13" t="n">
        <v>0.889</v>
      </c>
      <c r="J5" s="13" t="n">
        <v>0.75</v>
      </c>
      <c r="K5" s="13" t="n">
        <v>0.75</v>
      </c>
      <c r="L5" s="14" t="n">
        <v>9</v>
      </c>
      <c r="M5" s="8" t="s">
        <v>29</v>
      </c>
      <c r="N5" s="8" t="s">
        <v>104</v>
      </c>
      <c r="O5" s="8" t="s">
        <v>105</v>
      </c>
      <c r="P5" s="15"/>
      <c r="Q5" s="15"/>
    </row>
    <row r="6" customFormat="false" ht="60" hidden="false" customHeight="true" outlineLevel="0" collapsed="false">
      <c r="A6" s="8" t="s">
        <v>106</v>
      </c>
      <c r="B6" s="8" t="s">
        <v>21</v>
      </c>
      <c r="C6" s="8" t="s">
        <v>85</v>
      </c>
      <c r="D6" s="8" t="s">
        <v>107</v>
      </c>
      <c r="E6" s="8" t="s">
        <v>108</v>
      </c>
      <c r="F6" s="8" t="s">
        <v>109</v>
      </c>
      <c r="G6" s="13" t="n">
        <v>0.222</v>
      </c>
      <c r="H6" s="8" t="s">
        <v>110</v>
      </c>
      <c r="I6" s="13" t="n">
        <v>0.444</v>
      </c>
      <c r="J6" s="13" t="n">
        <v>0.75</v>
      </c>
      <c r="K6" s="13" t="n">
        <v>0.75</v>
      </c>
      <c r="L6" s="14" t="n">
        <v>5</v>
      </c>
      <c r="M6" s="8" t="s">
        <v>20</v>
      </c>
      <c r="N6" s="8" t="s">
        <v>111</v>
      </c>
      <c r="O6" s="8" t="s">
        <v>91</v>
      </c>
      <c r="P6" s="15"/>
      <c r="Q6" s="15"/>
    </row>
    <row r="7" customFormat="false" ht="60" hidden="false" customHeight="true" outlineLevel="0" collapsed="false">
      <c r="A7" s="8" t="s">
        <v>112</v>
      </c>
      <c r="B7" s="8" t="s">
        <v>21</v>
      </c>
      <c r="C7" s="8" t="s">
        <v>113</v>
      </c>
      <c r="D7" s="8" t="s">
        <v>114</v>
      </c>
      <c r="E7" s="8" t="s">
        <v>115</v>
      </c>
      <c r="F7" s="8" t="s">
        <v>116</v>
      </c>
      <c r="G7" s="13" t="n">
        <v>0</v>
      </c>
      <c r="H7" s="8" t="s">
        <v>89</v>
      </c>
      <c r="I7" s="13" t="n">
        <v>0</v>
      </c>
      <c r="J7" s="13" t="n">
        <v>0.667</v>
      </c>
      <c r="K7" s="13" t="n">
        <v>0.667</v>
      </c>
      <c r="L7" s="14" t="n">
        <v>5</v>
      </c>
      <c r="M7" s="8" t="s">
        <v>33</v>
      </c>
      <c r="N7" s="8" t="s">
        <v>117</v>
      </c>
      <c r="O7" s="8" t="s">
        <v>91</v>
      </c>
      <c r="P7" s="15"/>
      <c r="Q7" s="15"/>
    </row>
    <row r="8" customFormat="false" ht="60" hidden="false" customHeight="true" outlineLevel="0" collapsed="false">
      <c r="A8" s="8" t="s">
        <v>118</v>
      </c>
      <c r="B8" s="8" t="s">
        <v>21</v>
      </c>
      <c r="C8" s="8" t="s">
        <v>85</v>
      </c>
      <c r="D8" s="8" t="s">
        <v>119</v>
      </c>
      <c r="E8" s="8" t="s">
        <v>120</v>
      </c>
      <c r="F8" s="8" t="s">
        <v>121</v>
      </c>
      <c r="G8" s="13" t="n">
        <v>0.111</v>
      </c>
      <c r="H8" s="8" t="s">
        <v>103</v>
      </c>
      <c r="I8" s="13" t="n">
        <v>0.889</v>
      </c>
      <c r="J8" s="13" t="n">
        <v>0.667</v>
      </c>
      <c r="K8" s="13" t="n">
        <v>0.667</v>
      </c>
      <c r="L8" s="14" t="n">
        <v>11</v>
      </c>
      <c r="M8" s="8" t="s">
        <v>20</v>
      </c>
      <c r="N8" s="8" t="s">
        <v>122</v>
      </c>
      <c r="O8" s="8" t="s">
        <v>91</v>
      </c>
      <c r="P8" s="15"/>
      <c r="Q8" s="15"/>
    </row>
    <row r="9" customFormat="false" ht="60" hidden="false" customHeight="true" outlineLevel="0" collapsed="false">
      <c r="A9" s="8" t="s">
        <v>123</v>
      </c>
      <c r="B9" s="8" t="s">
        <v>21</v>
      </c>
      <c r="C9" s="8" t="s">
        <v>85</v>
      </c>
      <c r="D9" s="8" t="s">
        <v>124</v>
      </c>
      <c r="E9" s="8" t="s">
        <v>125</v>
      </c>
      <c r="F9" s="8" t="s">
        <v>126</v>
      </c>
      <c r="G9" s="13" t="n">
        <v>0.333</v>
      </c>
      <c r="H9" s="8" t="s">
        <v>127</v>
      </c>
      <c r="I9" s="13" t="n">
        <v>1</v>
      </c>
      <c r="J9" s="13" t="n">
        <v>0.667</v>
      </c>
      <c r="K9" s="13" t="n">
        <v>0.667</v>
      </c>
      <c r="L9" s="14" t="n">
        <v>8</v>
      </c>
      <c r="M9" s="8" t="s">
        <v>20</v>
      </c>
      <c r="N9" s="8" t="s">
        <v>128</v>
      </c>
      <c r="O9" s="8" t="s">
        <v>91</v>
      </c>
      <c r="P9" s="15"/>
      <c r="Q9" s="15"/>
    </row>
    <row r="10" customFormat="false" ht="60" hidden="false" customHeight="true" outlineLevel="0" collapsed="false">
      <c r="A10" s="8" t="s">
        <v>129</v>
      </c>
      <c r="B10" s="8" t="s">
        <v>21</v>
      </c>
      <c r="C10" s="8" t="s">
        <v>85</v>
      </c>
      <c r="D10" s="8" t="s">
        <v>100</v>
      </c>
      <c r="E10" s="8" t="s">
        <v>130</v>
      </c>
      <c r="F10" s="8" t="s">
        <v>131</v>
      </c>
      <c r="G10" s="13" t="n">
        <v>0</v>
      </c>
      <c r="H10" s="8" t="s">
        <v>89</v>
      </c>
      <c r="I10" s="13" t="n">
        <v>0</v>
      </c>
      <c r="J10" s="13" t="n">
        <v>0.667</v>
      </c>
      <c r="K10" s="13" t="n">
        <v>0.75</v>
      </c>
      <c r="L10" s="14" t="n">
        <v>8</v>
      </c>
      <c r="M10" s="8" t="s">
        <v>33</v>
      </c>
      <c r="N10" s="8" t="s">
        <v>132</v>
      </c>
      <c r="O10" s="8" t="s">
        <v>91</v>
      </c>
      <c r="P10" s="15"/>
      <c r="Q10" s="15"/>
    </row>
    <row r="11" customFormat="false" ht="60" hidden="false" customHeight="true" outlineLevel="0" collapsed="false">
      <c r="A11" s="8" t="s">
        <v>133</v>
      </c>
      <c r="B11" s="8" t="s">
        <v>21</v>
      </c>
      <c r="C11" s="8" t="s">
        <v>96</v>
      </c>
      <c r="D11" s="8" t="s">
        <v>134</v>
      </c>
      <c r="E11" s="8" t="s">
        <v>135</v>
      </c>
      <c r="F11" s="8" t="s">
        <v>136</v>
      </c>
      <c r="G11" s="13" t="n">
        <v>0</v>
      </c>
      <c r="H11" s="8" t="s">
        <v>89</v>
      </c>
      <c r="I11" s="13" t="n">
        <v>1</v>
      </c>
      <c r="J11" s="13" t="n">
        <v>0.667</v>
      </c>
      <c r="K11" s="13" t="n">
        <v>0.667</v>
      </c>
      <c r="L11" s="14" t="n">
        <v>7</v>
      </c>
      <c r="M11" s="8" t="s">
        <v>29</v>
      </c>
      <c r="N11" s="8" t="s">
        <v>104</v>
      </c>
      <c r="O11" s="8" t="s">
        <v>105</v>
      </c>
      <c r="P11" s="15"/>
      <c r="Q11" s="15"/>
    </row>
    <row r="12" customFormat="false" ht="60" hidden="false" customHeight="true" outlineLevel="0" collapsed="false">
      <c r="A12" s="8" t="s">
        <v>137</v>
      </c>
      <c r="B12" s="8" t="s">
        <v>21</v>
      </c>
      <c r="C12" s="8" t="s">
        <v>113</v>
      </c>
      <c r="D12" s="8" t="s">
        <v>138</v>
      </c>
      <c r="E12" s="8" t="s">
        <v>139</v>
      </c>
      <c r="F12" s="8" t="s">
        <v>140</v>
      </c>
      <c r="G12" s="13" t="n">
        <v>0</v>
      </c>
      <c r="H12" s="8" t="s">
        <v>89</v>
      </c>
      <c r="I12" s="13" t="n">
        <v>0.667</v>
      </c>
      <c r="J12" s="13" t="n">
        <v>0.615</v>
      </c>
      <c r="K12" s="13" t="n">
        <v>0.615</v>
      </c>
      <c r="L12" s="14" t="n">
        <v>1</v>
      </c>
      <c r="M12" s="8" t="s">
        <v>25</v>
      </c>
      <c r="N12" s="8" t="s">
        <v>141</v>
      </c>
      <c r="O12" s="8" t="s">
        <v>105</v>
      </c>
      <c r="P12" s="15"/>
      <c r="Q12" s="15"/>
    </row>
    <row r="13" customFormat="false" ht="60" hidden="false" customHeight="true" outlineLevel="0" collapsed="false">
      <c r="A13" s="8" t="s">
        <v>142</v>
      </c>
      <c r="B13" s="8" t="s">
        <v>21</v>
      </c>
      <c r="C13" s="8" t="s">
        <v>113</v>
      </c>
      <c r="D13" s="8" t="s">
        <v>143</v>
      </c>
      <c r="E13" s="8" t="s">
        <v>144</v>
      </c>
      <c r="F13" s="8" t="s">
        <v>145</v>
      </c>
      <c r="G13" s="13" t="n">
        <v>0</v>
      </c>
      <c r="H13" s="8" t="s">
        <v>89</v>
      </c>
      <c r="I13" s="13" t="n">
        <v>0.667</v>
      </c>
      <c r="J13" s="13" t="n">
        <v>0.6</v>
      </c>
      <c r="K13" s="13" t="n">
        <v>0.6</v>
      </c>
      <c r="L13" s="14" t="n">
        <v>9</v>
      </c>
      <c r="M13" s="8" t="s">
        <v>20</v>
      </c>
      <c r="N13" s="8" t="s">
        <v>94</v>
      </c>
      <c r="O13" s="8" t="s">
        <v>91</v>
      </c>
      <c r="P13" s="15"/>
      <c r="Q13" s="15"/>
    </row>
    <row r="14" customFormat="false" ht="60" hidden="false" customHeight="true" outlineLevel="0" collapsed="false">
      <c r="A14" s="8" t="s">
        <v>146</v>
      </c>
      <c r="B14" s="8" t="s">
        <v>21</v>
      </c>
      <c r="C14" s="8" t="s">
        <v>113</v>
      </c>
      <c r="D14" s="8" t="s">
        <v>147</v>
      </c>
      <c r="E14" s="8" t="s">
        <v>148</v>
      </c>
      <c r="F14" s="8" t="s">
        <v>149</v>
      </c>
      <c r="G14" s="13" t="n">
        <v>0.333</v>
      </c>
      <c r="H14" s="8" t="s">
        <v>150</v>
      </c>
      <c r="I14" s="13" t="n">
        <v>0.333</v>
      </c>
      <c r="J14" s="13" t="n">
        <v>0.6</v>
      </c>
      <c r="K14" s="13" t="n">
        <v>0.6</v>
      </c>
      <c r="L14" s="14" t="n">
        <v>7</v>
      </c>
      <c r="M14" s="8" t="s">
        <v>33</v>
      </c>
      <c r="N14" s="8" t="s">
        <v>151</v>
      </c>
      <c r="O14" s="8" t="s">
        <v>91</v>
      </c>
      <c r="P14" s="15"/>
      <c r="Q14" s="15"/>
    </row>
    <row r="15" customFormat="false" ht="60" hidden="false" customHeight="true" outlineLevel="0" collapsed="false">
      <c r="A15" s="8" t="s">
        <v>152</v>
      </c>
      <c r="B15" s="8" t="s">
        <v>21</v>
      </c>
      <c r="C15" s="8" t="s">
        <v>85</v>
      </c>
      <c r="D15" s="8" t="s">
        <v>153</v>
      </c>
      <c r="E15" s="8" t="s">
        <v>154</v>
      </c>
      <c r="F15" s="8" t="s">
        <v>155</v>
      </c>
      <c r="G15" s="13" t="n">
        <v>0</v>
      </c>
      <c r="H15" s="8" t="s">
        <v>89</v>
      </c>
      <c r="I15" s="13" t="n">
        <v>1</v>
      </c>
      <c r="J15" s="13" t="n">
        <v>0.571</v>
      </c>
      <c r="K15" s="13" t="n">
        <v>0.571</v>
      </c>
      <c r="L15" s="14" t="n">
        <v>6</v>
      </c>
      <c r="M15" s="8" t="s">
        <v>20</v>
      </c>
      <c r="N15" s="8" t="s">
        <v>90</v>
      </c>
      <c r="O15" s="8" t="s">
        <v>91</v>
      </c>
      <c r="P15" s="15"/>
      <c r="Q15" s="15"/>
    </row>
    <row r="16" customFormat="false" ht="60" hidden="false" customHeight="true" outlineLevel="0" collapsed="false">
      <c r="A16" s="8" t="s">
        <v>156</v>
      </c>
      <c r="B16" s="8" t="s">
        <v>21</v>
      </c>
      <c r="C16" s="8" t="s">
        <v>113</v>
      </c>
      <c r="D16" s="8" t="s">
        <v>157</v>
      </c>
      <c r="E16" s="8" t="s">
        <v>158</v>
      </c>
      <c r="F16" s="8" t="s">
        <v>159</v>
      </c>
      <c r="G16" s="13" t="n">
        <v>0.111</v>
      </c>
      <c r="H16" s="8" t="s">
        <v>160</v>
      </c>
      <c r="I16" s="13" t="n">
        <v>0.444</v>
      </c>
      <c r="J16" s="13" t="n">
        <v>0.571</v>
      </c>
      <c r="K16" s="13" t="n">
        <v>0.571</v>
      </c>
      <c r="L16" s="14" t="n">
        <v>5</v>
      </c>
      <c r="M16" s="8" t="s">
        <v>20</v>
      </c>
      <c r="N16" s="8" t="s">
        <v>90</v>
      </c>
      <c r="O16" s="8" t="s">
        <v>91</v>
      </c>
      <c r="P16" s="15"/>
      <c r="Q16" s="15"/>
    </row>
    <row r="17" customFormat="false" ht="60" hidden="false" customHeight="true" outlineLevel="0" collapsed="false">
      <c r="A17" s="8" t="s">
        <v>161</v>
      </c>
      <c r="B17" s="8" t="s">
        <v>21</v>
      </c>
      <c r="C17" s="8" t="s">
        <v>113</v>
      </c>
      <c r="D17" s="8" t="s">
        <v>86</v>
      </c>
      <c r="E17" s="8" t="s">
        <v>162</v>
      </c>
      <c r="F17" s="8" t="s">
        <v>163</v>
      </c>
      <c r="G17" s="13" t="n">
        <v>0.222</v>
      </c>
      <c r="H17" s="8" t="s">
        <v>110</v>
      </c>
      <c r="I17" s="13" t="n">
        <v>1</v>
      </c>
      <c r="J17" s="13" t="n">
        <v>0.571</v>
      </c>
      <c r="K17" s="13" t="n">
        <v>0.667</v>
      </c>
      <c r="L17" s="14" t="n">
        <v>7</v>
      </c>
      <c r="M17" s="8" t="s">
        <v>20</v>
      </c>
      <c r="N17" s="8" t="s">
        <v>90</v>
      </c>
      <c r="O17" s="8" t="s">
        <v>91</v>
      </c>
      <c r="P17" s="15"/>
      <c r="Q17" s="15"/>
    </row>
    <row r="18" customFormat="false" ht="60" hidden="false" customHeight="true" outlineLevel="0" collapsed="false">
      <c r="A18" s="8" t="s">
        <v>164</v>
      </c>
      <c r="B18" s="8" t="s">
        <v>21</v>
      </c>
      <c r="C18" s="8" t="s">
        <v>96</v>
      </c>
      <c r="D18" s="8" t="s">
        <v>165</v>
      </c>
      <c r="E18" s="8" t="s">
        <v>166</v>
      </c>
      <c r="F18" s="8" t="s">
        <v>167</v>
      </c>
      <c r="G18" s="13" t="n">
        <v>0.333</v>
      </c>
      <c r="H18" s="8" t="s">
        <v>127</v>
      </c>
      <c r="I18" s="13" t="n">
        <v>0.333</v>
      </c>
      <c r="J18" s="13" t="n">
        <v>0.571</v>
      </c>
      <c r="K18" s="13" t="n">
        <v>0.667</v>
      </c>
      <c r="L18" s="14" t="n">
        <v>3</v>
      </c>
      <c r="M18" s="8" t="s">
        <v>33</v>
      </c>
      <c r="N18" s="8" t="s">
        <v>151</v>
      </c>
      <c r="O18" s="8" t="s">
        <v>91</v>
      </c>
      <c r="P18" s="15"/>
      <c r="Q18" s="15"/>
    </row>
    <row r="19" customFormat="false" ht="60" hidden="false" customHeight="true" outlineLevel="0" collapsed="false">
      <c r="A19" s="8" t="s">
        <v>168</v>
      </c>
      <c r="B19" s="8" t="s">
        <v>21</v>
      </c>
      <c r="C19" s="8" t="s">
        <v>96</v>
      </c>
      <c r="D19" s="8" t="s">
        <v>169</v>
      </c>
      <c r="E19" s="8" t="s">
        <v>170</v>
      </c>
      <c r="F19" s="8" t="s">
        <v>171</v>
      </c>
      <c r="G19" s="13" t="n">
        <v>0.333</v>
      </c>
      <c r="H19" s="8" t="s">
        <v>150</v>
      </c>
      <c r="I19" s="13" t="n">
        <v>0.333</v>
      </c>
      <c r="J19" s="13" t="n">
        <v>0.571</v>
      </c>
      <c r="K19" s="13" t="n">
        <v>1</v>
      </c>
      <c r="L19" s="14" t="n">
        <v>8</v>
      </c>
      <c r="M19" s="8" t="s">
        <v>33</v>
      </c>
      <c r="N19" s="8" t="s">
        <v>151</v>
      </c>
      <c r="O19" s="8" t="s">
        <v>91</v>
      </c>
      <c r="P19" s="15"/>
      <c r="Q19" s="15"/>
    </row>
    <row r="20" customFormat="false" ht="60" hidden="false" customHeight="true" outlineLevel="0" collapsed="false">
      <c r="A20" s="8" t="s">
        <v>172</v>
      </c>
      <c r="B20" s="8" t="s">
        <v>21</v>
      </c>
      <c r="C20" s="8" t="s">
        <v>99</v>
      </c>
      <c r="D20" s="8" t="s">
        <v>173</v>
      </c>
      <c r="E20" s="8" t="s">
        <v>174</v>
      </c>
      <c r="F20" s="8" t="s">
        <v>175</v>
      </c>
      <c r="G20" s="13" t="n">
        <v>0</v>
      </c>
      <c r="H20" s="8" t="s">
        <v>89</v>
      </c>
      <c r="I20" s="13" t="n">
        <v>0.667</v>
      </c>
      <c r="J20" s="13" t="n">
        <v>0.5</v>
      </c>
      <c r="K20" s="13" t="n">
        <v>0.5</v>
      </c>
      <c r="L20" s="14" t="n">
        <v>3</v>
      </c>
      <c r="M20" s="8" t="s">
        <v>20</v>
      </c>
      <c r="N20" s="8" t="s">
        <v>176</v>
      </c>
      <c r="O20" s="8" t="s">
        <v>91</v>
      </c>
      <c r="P20" s="15"/>
      <c r="Q20" s="15"/>
    </row>
    <row r="21" customFormat="false" ht="60" hidden="false" customHeight="true" outlineLevel="0" collapsed="false">
      <c r="A21" s="8" t="s">
        <v>177</v>
      </c>
      <c r="B21" s="8" t="s">
        <v>21</v>
      </c>
      <c r="C21" s="8" t="s">
        <v>85</v>
      </c>
      <c r="D21" s="8" t="s">
        <v>178</v>
      </c>
      <c r="E21" s="8" t="s">
        <v>179</v>
      </c>
      <c r="F21" s="8" t="s">
        <v>180</v>
      </c>
      <c r="G21" s="13" t="n">
        <v>0</v>
      </c>
      <c r="H21" s="8" t="s">
        <v>89</v>
      </c>
      <c r="I21" s="13" t="n">
        <v>0.889</v>
      </c>
      <c r="J21" s="13" t="n">
        <v>0.5</v>
      </c>
      <c r="K21" s="13" t="n">
        <v>0.5</v>
      </c>
      <c r="L21" s="14" t="n">
        <v>5</v>
      </c>
      <c r="M21" s="8" t="s">
        <v>20</v>
      </c>
      <c r="N21" s="8" t="s">
        <v>181</v>
      </c>
      <c r="O21" s="8" t="s">
        <v>91</v>
      </c>
      <c r="P21" s="15"/>
      <c r="Q21" s="15"/>
    </row>
    <row r="22" customFormat="false" ht="60" hidden="false" customHeight="true" outlineLevel="0" collapsed="false">
      <c r="A22" s="8" t="s">
        <v>182</v>
      </c>
      <c r="B22" s="8" t="s">
        <v>21</v>
      </c>
      <c r="C22" s="8" t="s">
        <v>113</v>
      </c>
      <c r="D22" s="8" t="s">
        <v>183</v>
      </c>
      <c r="E22" s="8" t="s">
        <v>184</v>
      </c>
      <c r="F22" s="8" t="s">
        <v>185</v>
      </c>
      <c r="G22" s="13" t="n">
        <v>0</v>
      </c>
      <c r="H22" s="8" t="s">
        <v>89</v>
      </c>
      <c r="I22" s="13" t="n">
        <v>1</v>
      </c>
      <c r="J22" s="13" t="n">
        <v>0.5</v>
      </c>
      <c r="K22" s="13" t="n">
        <v>0.5</v>
      </c>
      <c r="L22" s="14" t="n">
        <v>7</v>
      </c>
      <c r="M22" s="8" t="s">
        <v>20</v>
      </c>
      <c r="N22" s="8" t="s">
        <v>176</v>
      </c>
      <c r="O22" s="8" t="s">
        <v>91</v>
      </c>
      <c r="P22" s="15"/>
      <c r="Q22" s="15"/>
    </row>
    <row r="23" customFormat="false" ht="60" hidden="false" customHeight="true" outlineLevel="0" collapsed="false">
      <c r="A23" s="8" t="s">
        <v>186</v>
      </c>
      <c r="B23" s="8" t="s">
        <v>21</v>
      </c>
      <c r="C23" s="8" t="s">
        <v>113</v>
      </c>
      <c r="D23" s="8" t="s">
        <v>187</v>
      </c>
      <c r="E23" s="8" t="s">
        <v>188</v>
      </c>
      <c r="F23" s="8" t="s">
        <v>189</v>
      </c>
      <c r="G23" s="13" t="n">
        <v>0</v>
      </c>
      <c r="H23" s="8" t="s">
        <v>89</v>
      </c>
      <c r="I23" s="13" t="n">
        <v>0.556</v>
      </c>
      <c r="J23" s="13" t="n">
        <v>0.5</v>
      </c>
      <c r="K23" s="13" t="n">
        <v>0.571</v>
      </c>
      <c r="L23" s="14" t="n">
        <v>5</v>
      </c>
      <c r="M23" s="8" t="s">
        <v>20</v>
      </c>
      <c r="N23" s="8" t="s">
        <v>128</v>
      </c>
      <c r="O23" s="8" t="s">
        <v>91</v>
      </c>
      <c r="P23" s="15"/>
      <c r="Q23" s="15"/>
    </row>
    <row r="24" customFormat="false" ht="60" hidden="false" customHeight="true" outlineLevel="0" collapsed="false">
      <c r="A24" s="8" t="s">
        <v>190</v>
      </c>
      <c r="B24" s="8" t="s">
        <v>21</v>
      </c>
      <c r="C24" s="8" t="s">
        <v>113</v>
      </c>
      <c r="D24" s="8" t="s">
        <v>191</v>
      </c>
      <c r="E24" s="8" t="s">
        <v>192</v>
      </c>
      <c r="F24" s="8" t="s">
        <v>193</v>
      </c>
      <c r="G24" s="13" t="n">
        <v>0</v>
      </c>
      <c r="H24" s="8" t="s">
        <v>89</v>
      </c>
      <c r="I24" s="13" t="n">
        <v>0.889</v>
      </c>
      <c r="J24" s="13" t="n">
        <v>0.5</v>
      </c>
      <c r="K24" s="13" t="n">
        <v>0.5</v>
      </c>
      <c r="L24" s="14" t="n">
        <v>6</v>
      </c>
      <c r="M24" s="8" t="s">
        <v>20</v>
      </c>
      <c r="N24" s="8" t="s">
        <v>176</v>
      </c>
      <c r="O24" s="8" t="s">
        <v>91</v>
      </c>
      <c r="P24" s="15"/>
      <c r="Q24" s="15"/>
    </row>
    <row r="25" customFormat="false" ht="60" hidden="false" customHeight="true" outlineLevel="0" collapsed="false">
      <c r="A25" s="8" t="s">
        <v>194</v>
      </c>
      <c r="B25" s="8" t="s">
        <v>21</v>
      </c>
      <c r="C25" s="8" t="s">
        <v>113</v>
      </c>
      <c r="D25" s="8" t="s">
        <v>165</v>
      </c>
      <c r="E25" s="8" t="s">
        <v>195</v>
      </c>
      <c r="F25" s="8" t="s">
        <v>196</v>
      </c>
      <c r="G25" s="13" t="n">
        <v>0</v>
      </c>
      <c r="H25" s="8" t="s">
        <v>89</v>
      </c>
      <c r="I25" s="13" t="n">
        <v>0.222</v>
      </c>
      <c r="J25" s="13" t="n">
        <v>0.5</v>
      </c>
      <c r="K25" s="13" t="n">
        <v>0.5</v>
      </c>
      <c r="L25" s="14" t="n">
        <v>3</v>
      </c>
      <c r="M25" s="8" t="s">
        <v>33</v>
      </c>
      <c r="N25" s="8" t="s">
        <v>197</v>
      </c>
      <c r="O25" s="8" t="s">
        <v>91</v>
      </c>
      <c r="P25" s="15"/>
      <c r="Q25" s="15"/>
    </row>
    <row r="26" customFormat="false" ht="60" hidden="false" customHeight="true" outlineLevel="0" collapsed="false">
      <c r="A26" s="8" t="s">
        <v>198</v>
      </c>
      <c r="B26" s="8" t="s">
        <v>21</v>
      </c>
      <c r="C26" s="8" t="s">
        <v>113</v>
      </c>
      <c r="D26" s="8" t="s">
        <v>199</v>
      </c>
      <c r="E26" s="8" t="s">
        <v>200</v>
      </c>
      <c r="F26" s="8" t="s">
        <v>201</v>
      </c>
      <c r="G26" s="13" t="n">
        <v>0</v>
      </c>
      <c r="H26" s="8" t="s">
        <v>89</v>
      </c>
      <c r="I26" s="13" t="n">
        <v>0.222</v>
      </c>
      <c r="J26" s="13" t="n">
        <v>0.5</v>
      </c>
      <c r="K26" s="13" t="n">
        <v>0.5</v>
      </c>
      <c r="L26" s="14" t="n">
        <v>10</v>
      </c>
      <c r="M26" s="8" t="s">
        <v>33</v>
      </c>
      <c r="N26" s="8" t="s">
        <v>197</v>
      </c>
      <c r="O26" s="8" t="s">
        <v>91</v>
      </c>
      <c r="P26" s="15"/>
      <c r="Q26" s="15"/>
    </row>
    <row r="27" customFormat="false" ht="60" hidden="false" customHeight="true" outlineLevel="0" collapsed="false">
      <c r="A27" s="8" t="s">
        <v>202</v>
      </c>
      <c r="B27" s="8" t="s">
        <v>21</v>
      </c>
      <c r="C27" s="8" t="s">
        <v>113</v>
      </c>
      <c r="D27" s="8" t="s">
        <v>203</v>
      </c>
      <c r="E27" s="8" t="s">
        <v>204</v>
      </c>
      <c r="F27" s="8" t="s">
        <v>205</v>
      </c>
      <c r="G27" s="13" t="n">
        <v>0</v>
      </c>
      <c r="H27" s="8" t="s">
        <v>89</v>
      </c>
      <c r="I27" s="13" t="n">
        <v>0</v>
      </c>
      <c r="J27" s="13" t="n">
        <v>0.5</v>
      </c>
      <c r="K27" s="13" t="n">
        <v>0.5</v>
      </c>
      <c r="L27" s="14" t="n">
        <v>6</v>
      </c>
      <c r="M27" s="8" t="s">
        <v>33</v>
      </c>
      <c r="N27" s="8" t="s">
        <v>132</v>
      </c>
      <c r="O27" s="8" t="s">
        <v>91</v>
      </c>
      <c r="P27" s="15"/>
      <c r="Q27" s="15"/>
    </row>
    <row r="28" customFormat="false" ht="60" hidden="false" customHeight="true" outlineLevel="0" collapsed="false">
      <c r="A28" s="8" t="s">
        <v>206</v>
      </c>
      <c r="B28" s="8" t="s">
        <v>21</v>
      </c>
      <c r="C28" s="8" t="s">
        <v>113</v>
      </c>
      <c r="D28" s="8" t="s">
        <v>100</v>
      </c>
      <c r="E28" s="8" t="s">
        <v>207</v>
      </c>
      <c r="F28" s="8" t="s">
        <v>208</v>
      </c>
      <c r="G28" s="13" t="n">
        <v>0</v>
      </c>
      <c r="H28" s="8" t="s">
        <v>89</v>
      </c>
      <c r="I28" s="13" t="n">
        <v>0</v>
      </c>
      <c r="J28" s="13" t="n">
        <v>0.5</v>
      </c>
      <c r="K28" s="13" t="n">
        <v>0.5</v>
      </c>
      <c r="L28" s="14" t="n">
        <v>8</v>
      </c>
      <c r="M28" s="8" t="s">
        <v>33</v>
      </c>
      <c r="N28" s="8" t="s">
        <v>132</v>
      </c>
      <c r="O28" s="8" t="s">
        <v>91</v>
      </c>
      <c r="P28" s="15"/>
      <c r="Q28" s="15"/>
    </row>
    <row r="29" customFormat="false" ht="60" hidden="false" customHeight="true" outlineLevel="0" collapsed="false">
      <c r="A29" s="8" t="s">
        <v>209</v>
      </c>
      <c r="B29" s="8" t="s">
        <v>21</v>
      </c>
      <c r="C29" s="8" t="s">
        <v>85</v>
      </c>
      <c r="D29" s="8" t="s">
        <v>210</v>
      </c>
      <c r="E29" s="8" t="s">
        <v>211</v>
      </c>
      <c r="F29" s="8" t="s">
        <v>212</v>
      </c>
      <c r="G29" s="13" t="n">
        <v>0.222</v>
      </c>
      <c r="H29" s="8" t="s">
        <v>213</v>
      </c>
      <c r="I29" s="13" t="n">
        <v>0.556</v>
      </c>
      <c r="J29" s="13" t="n">
        <v>0.5</v>
      </c>
      <c r="K29" s="13" t="n">
        <v>0.5</v>
      </c>
      <c r="L29" s="14" t="n">
        <v>6</v>
      </c>
      <c r="M29" s="8" t="s">
        <v>20</v>
      </c>
      <c r="N29" s="8" t="s">
        <v>176</v>
      </c>
      <c r="O29" s="8" t="s">
        <v>91</v>
      </c>
      <c r="P29" s="15"/>
      <c r="Q29" s="15"/>
    </row>
    <row r="30" customFormat="false" ht="60" hidden="false" customHeight="true" outlineLevel="0" collapsed="false">
      <c r="A30" s="8" t="s">
        <v>214</v>
      </c>
      <c r="B30" s="8" t="s">
        <v>21</v>
      </c>
      <c r="C30" s="8" t="s">
        <v>113</v>
      </c>
      <c r="D30" s="8" t="s">
        <v>215</v>
      </c>
      <c r="E30" s="8" t="s">
        <v>216</v>
      </c>
      <c r="F30" s="8" t="s">
        <v>217</v>
      </c>
      <c r="G30" s="13" t="n">
        <v>0.222</v>
      </c>
      <c r="H30" s="8" t="s">
        <v>110</v>
      </c>
      <c r="I30" s="13" t="n">
        <v>0.111</v>
      </c>
      <c r="J30" s="13" t="n">
        <v>0.5</v>
      </c>
      <c r="K30" s="13" t="n">
        <v>0.5</v>
      </c>
      <c r="L30" s="14" t="n">
        <v>6</v>
      </c>
      <c r="M30" s="8" t="s">
        <v>33</v>
      </c>
      <c r="N30" s="8" t="s">
        <v>218</v>
      </c>
      <c r="O30" s="8" t="s">
        <v>91</v>
      </c>
      <c r="P30" s="15"/>
      <c r="Q30" s="15"/>
    </row>
    <row r="31" customFormat="false" ht="60" hidden="false" customHeight="true" outlineLevel="0" collapsed="false">
      <c r="A31" s="8" t="s">
        <v>219</v>
      </c>
      <c r="B31" s="8" t="s">
        <v>21</v>
      </c>
      <c r="C31" s="8" t="s">
        <v>96</v>
      </c>
      <c r="D31" s="8" t="s">
        <v>107</v>
      </c>
      <c r="E31" s="8" t="s">
        <v>108</v>
      </c>
      <c r="F31" s="8" t="s">
        <v>220</v>
      </c>
      <c r="G31" s="13" t="n">
        <v>0.222</v>
      </c>
      <c r="H31" s="8" t="s">
        <v>110</v>
      </c>
      <c r="I31" s="13" t="n">
        <v>0.556</v>
      </c>
      <c r="J31" s="13" t="n">
        <v>0.5</v>
      </c>
      <c r="K31" s="13" t="n">
        <v>0.5</v>
      </c>
      <c r="L31" s="14" t="n">
        <v>5</v>
      </c>
      <c r="M31" s="8" t="s">
        <v>37</v>
      </c>
      <c r="N31" s="8" t="s">
        <v>221</v>
      </c>
      <c r="O31" s="8" t="s">
        <v>222</v>
      </c>
      <c r="P31" s="15"/>
      <c r="Q31" s="15"/>
    </row>
    <row r="32" customFormat="false" ht="60" hidden="false" customHeight="true" outlineLevel="0" collapsed="false">
      <c r="A32" s="8" t="s">
        <v>223</v>
      </c>
      <c r="B32" s="8" t="s">
        <v>21</v>
      </c>
      <c r="C32" s="8" t="s">
        <v>96</v>
      </c>
      <c r="D32" s="8" t="s">
        <v>224</v>
      </c>
      <c r="E32" s="8" t="s">
        <v>225</v>
      </c>
      <c r="F32" s="8" t="s">
        <v>226</v>
      </c>
      <c r="G32" s="13" t="n">
        <v>0.222</v>
      </c>
      <c r="H32" s="8" t="s">
        <v>110</v>
      </c>
      <c r="I32" s="13" t="n">
        <v>1</v>
      </c>
      <c r="J32" s="13" t="n">
        <v>0.5</v>
      </c>
      <c r="K32" s="13" t="n">
        <v>0.5</v>
      </c>
      <c r="L32" s="14" t="n">
        <v>5</v>
      </c>
      <c r="M32" s="8" t="s">
        <v>20</v>
      </c>
      <c r="N32" s="8" t="s">
        <v>128</v>
      </c>
      <c r="O32" s="8" t="s">
        <v>91</v>
      </c>
      <c r="P32" s="15"/>
      <c r="Q32" s="15"/>
    </row>
    <row r="33" customFormat="false" ht="60" hidden="false" customHeight="true" outlineLevel="0" collapsed="false">
      <c r="A33" s="8" t="s">
        <v>227</v>
      </c>
      <c r="B33" s="8" t="s">
        <v>21</v>
      </c>
      <c r="C33" s="8" t="s">
        <v>99</v>
      </c>
      <c r="D33" s="8" t="s">
        <v>228</v>
      </c>
      <c r="E33" s="8" t="s">
        <v>229</v>
      </c>
      <c r="F33" s="8" t="s">
        <v>63</v>
      </c>
      <c r="G33" s="13" t="n">
        <v>0.333</v>
      </c>
      <c r="H33" s="8" t="s">
        <v>150</v>
      </c>
      <c r="I33" s="13" t="n">
        <v>0.333</v>
      </c>
      <c r="J33" s="13" t="n">
        <v>0.5</v>
      </c>
      <c r="K33" s="13" t="n">
        <v>0.5</v>
      </c>
      <c r="L33" s="14" t="n">
        <v>6</v>
      </c>
      <c r="M33" s="8" t="s">
        <v>33</v>
      </c>
      <c r="N33" s="8" t="s">
        <v>151</v>
      </c>
      <c r="O33" s="8" t="s">
        <v>91</v>
      </c>
      <c r="P33" s="15"/>
      <c r="Q33" s="15"/>
    </row>
    <row r="34" customFormat="false" ht="60" hidden="false" customHeight="true" outlineLevel="0" collapsed="false">
      <c r="A34" s="8" t="s">
        <v>230</v>
      </c>
      <c r="B34" s="8" t="s">
        <v>21</v>
      </c>
      <c r="C34" s="8" t="s">
        <v>96</v>
      </c>
      <c r="D34" s="8" t="s">
        <v>178</v>
      </c>
      <c r="E34" s="8" t="s">
        <v>179</v>
      </c>
      <c r="F34" s="8" t="s">
        <v>231</v>
      </c>
      <c r="G34" s="13" t="n">
        <v>0</v>
      </c>
      <c r="H34" s="8" t="s">
        <v>89</v>
      </c>
      <c r="I34" s="13" t="n">
        <v>0.667</v>
      </c>
      <c r="J34" s="13" t="n">
        <v>0.462</v>
      </c>
      <c r="K34" s="13" t="n">
        <v>0.462</v>
      </c>
      <c r="L34" s="14" t="n">
        <v>5</v>
      </c>
      <c r="M34" s="8" t="s">
        <v>20</v>
      </c>
      <c r="N34" s="8" t="s">
        <v>181</v>
      </c>
      <c r="O34" s="8" t="s">
        <v>91</v>
      </c>
      <c r="P34" s="15"/>
      <c r="Q34" s="15"/>
    </row>
    <row r="35" customFormat="false" ht="60" hidden="false" customHeight="true" outlineLevel="0" collapsed="false">
      <c r="A35" s="8" t="s">
        <v>232</v>
      </c>
      <c r="B35" s="8" t="s">
        <v>21</v>
      </c>
      <c r="C35" s="8" t="s">
        <v>85</v>
      </c>
      <c r="D35" s="8" t="s">
        <v>173</v>
      </c>
      <c r="E35" s="8" t="s">
        <v>174</v>
      </c>
      <c r="F35" s="8" t="s">
        <v>233</v>
      </c>
      <c r="G35" s="13" t="n">
        <v>0</v>
      </c>
      <c r="H35" s="8" t="s">
        <v>89</v>
      </c>
      <c r="I35" s="13" t="n">
        <v>0.222</v>
      </c>
      <c r="J35" s="13" t="n">
        <v>0.444</v>
      </c>
      <c r="K35" s="13" t="n">
        <v>0.444</v>
      </c>
      <c r="L35" s="14" t="n">
        <v>3</v>
      </c>
      <c r="M35" s="8" t="s">
        <v>33</v>
      </c>
      <c r="N35" s="8" t="s">
        <v>197</v>
      </c>
      <c r="O35" s="8" t="s">
        <v>91</v>
      </c>
      <c r="P35" s="15"/>
      <c r="Q35" s="15"/>
    </row>
    <row r="36" customFormat="false" ht="60" hidden="false" customHeight="true" outlineLevel="0" collapsed="false">
      <c r="A36" s="8" t="s">
        <v>234</v>
      </c>
      <c r="B36" s="8" t="s">
        <v>21</v>
      </c>
      <c r="C36" s="8" t="s">
        <v>113</v>
      </c>
      <c r="D36" s="8" t="s">
        <v>173</v>
      </c>
      <c r="E36" s="8" t="s">
        <v>174</v>
      </c>
      <c r="F36" s="8" t="s">
        <v>235</v>
      </c>
      <c r="G36" s="13" t="n">
        <v>0</v>
      </c>
      <c r="H36" s="8" t="s">
        <v>89</v>
      </c>
      <c r="I36" s="13" t="n">
        <v>0.333</v>
      </c>
      <c r="J36" s="13" t="n">
        <v>0.444</v>
      </c>
      <c r="K36" s="13" t="n">
        <v>0.444</v>
      </c>
      <c r="L36" s="14" t="n">
        <v>3</v>
      </c>
      <c r="M36" s="8" t="s">
        <v>33</v>
      </c>
      <c r="N36" s="8" t="s">
        <v>151</v>
      </c>
      <c r="O36" s="8" t="s">
        <v>91</v>
      </c>
      <c r="P36" s="15"/>
      <c r="Q36" s="15"/>
    </row>
    <row r="37" customFormat="false" ht="60" hidden="false" customHeight="true" outlineLevel="0" collapsed="false">
      <c r="A37" s="8" t="s">
        <v>236</v>
      </c>
      <c r="B37" s="8" t="s">
        <v>21</v>
      </c>
      <c r="C37" s="8" t="s">
        <v>113</v>
      </c>
      <c r="D37" s="8" t="s">
        <v>237</v>
      </c>
      <c r="E37" s="8" t="s">
        <v>238</v>
      </c>
      <c r="F37" s="8" t="s">
        <v>239</v>
      </c>
      <c r="G37" s="13" t="n">
        <v>0</v>
      </c>
      <c r="H37" s="8" t="s">
        <v>89</v>
      </c>
      <c r="I37" s="13" t="n">
        <v>0.111</v>
      </c>
      <c r="J37" s="13" t="n">
        <v>0.444</v>
      </c>
      <c r="K37" s="13" t="n">
        <v>0.444</v>
      </c>
      <c r="L37" s="14" t="n">
        <v>3</v>
      </c>
      <c r="M37" s="8" t="s">
        <v>33</v>
      </c>
      <c r="N37" s="8" t="s">
        <v>240</v>
      </c>
      <c r="O37" s="8" t="s">
        <v>91</v>
      </c>
      <c r="P37" s="15"/>
      <c r="Q37" s="15"/>
    </row>
    <row r="38" customFormat="false" ht="60" hidden="false" customHeight="true" outlineLevel="0" collapsed="false">
      <c r="A38" s="8" t="s">
        <v>241</v>
      </c>
      <c r="B38" s="8" t="s">
        <v>21</v>
      </c>
      <c r="C38" s="8" t="s">
        <v>113</v>
      </c>
      <c r="D38" s="8" t="s">
        <v>242</v>
      </c>
      <c r="E38" s="8" t="s">
        <v>243</v>
      </c>
      <c r="F38" s="8" t="s">
        <v>244</v>
      </c>
      <c r="G38" s="13" t="n">
        <v>0</v>
      </c>
      <c r="H38" s="8" t="s">
        <v>89</v>
      </c>
      <c r="I38" s="13" t="n">
        <v>0.556</v>
      </c>
      <c r="J38" s="13" t="n">
        <v>0.444</v>
      </c>
      <c r="K38" s="13" t="n">
        <v>0.5</v>
      </c>
      <c r="L38" s="14" t="n">
        <v>5</v>
      </c>
      <c r="M38" s="8" t="s">
        <v>20</v>
      </c>
      <c r="N38" s="8" t="s">
        <v>176</v>
      </c>
      <c r="O38" s="8" t="s">
        <v>91</v>
      </c>
      <c r="P38" s="15"/>
      <c r="Q38" s="15"/>
    </row>
    <row r="39" customFormat="false" ht="60" hidden="false" customHeight="true" outlineLevel="0" collapsed="false">
      <c r="A39" s="8" t="s">
        <v>245</v>
      </c>
      <c r="B39" s="8" t="s">
        <v>21</v>
      </c>
      <c r="C39" s="8" t="s">
        <v>96</v>
      </c>
      <c r="D39" s="8" t="s">
        <v>246</v>
      </c>
      <c r="E39" s="8" t="s">
        <v>247</v>
      </c>
      <c r="F39" s="8" t="s">
        <v>248</v>
      </c>
      <c r="G39" s="13" t="n">
        <v>0</v>
      </c>
      <c r="H39" s="8" t="s">
        <v>89</v>
      </c>
      <c r="I39" s="13" t="n">
        <v>0.889</v>
      </c>
      <c r="J39" s="13" t="n">
        <v>0.444</v>
      </c>
      <c r="K39" s="13" t="n">
        <v>0.6</v>
      </c>
      <c r="L39" s="14" t="n">
        <v>5</v>
      </c>
      <c r="M39" s="8" t="s">
        <v>20</v>
      </c>
      <c r="N39" s="8" t="s">
        <v>94</v>
      </c>
      <c r="O39" s="8" t="s">
        <v>91</v>
      </c>
      <c r="P39" s="15"/>
      <c r="Q39" s="15"/>
    </row>
    <row r="40" customFormat="false" ht="60" hidden="false" customHeight="true" outlineLevel="0" collapsed="false">
      <c r="A40" s="8" t="s">
        <v>249</v>
      </c>
      <c r="B40" s="8" t="s">
        <v>21</v>
      </c>
      <c r="C40" s="8" t="s">
        <v>96</v>
      </c>
      <c r="D40" s="8" t="s">
        <v>173</v>
      </c>
      <c r="E40" s="8" t="s">
        <v>174</v>
      </c>
      <c r="F40" s="8" t="s">
        <v>235</v>
      </c>
      <c r="G40" s="13" t="n">
        <v>0</v>
      </c>
      <c r="H40" s="8" t="s">
        <v>89</v>
      </c>
      <c r="I40" s="13" t="n">
        <v>0</v>
      </c>
      <c r="J40" s="13" t="n">
        <v>0.444</v>
      </c>
      <c r="K40" s="13" t="n">
        <v>0.444</v>
      </c>
      <c r="L40" s="14" t="n">
        <v>3</v>
      </c>
      <c r="M40" s="8" t="s">
        <v>33</v>
      </c>
      <c r="N40" s="8" t="s">
        <v>132</v>
      </c>
      <c r="O40" s="8" t="s">
        <v>91</v>
      </c>
      <c r="P40" s="15"/>
      <c r="Q40" s="15"/>
    </row>
    <row r="41" customFormat="false" ht="60" hidden="false" customHeight="true" outlineLevel="0" collapsed="false">
      <c r="A41" s="8" t="s">
        <v>250</v>
      </c>
      <c r="B41" s="8" t="s">
        <v>21</v>
      </c>
      <c r="C41" s="8" t="s">
        <v>113</v>
      </c>
      <c r="D41" s="8" t="s">
        <v>86</v>
      </c>
      <c r="E41" s="8" t="s">
        <v>251</v>
      </c>
      <c r="F41" s="8" t="s">
        <v>252</v>
      </c>
      <c r="G41" s="13" t="n">
        <v>0.111</v>
      </c>
      <c r="H41" s="8" t="s">
        <v>103</v>
      </c>
      <c r="I41" s="13" t="n">
        <v>0.889</v>
      </c>
      <c r="J41" s="13" t="n">
        <v>0.444</v>
      </c>
      <c r="K41" s="13" t="n">
        <v>0.5</v>
      </c>
      <c r="L41" s="14" t="n">
        <v>7</v>
      </c>
      <c r="M41" s="8" t="s">
        <v>20</v>
      </c>
      <c r="N41" s="8" t="s">
        <v>90</v>
      </c>
      <c r="O41" s="8" t="s">
        <v>91</v>
      </c>
      <c r="P41" s="15"/>
      <c r="Q41" s="15"/>
    </row>
    <row r="42" customFormat="false" ht="60" hidden="false" customHeight="true" outlineLevel="0" collapsed="false">
      <c r="A42" s="8" t="s">
        <v>253</v>
      </c>
      <c r="B42" s="8" t="s">
        <v>21</v>
      </c>
      <c r="C42" s="8" t="s">
        <v>96</v>
      </c>
      <c r="D42" s="8" t="s">
        <v>254</v>
      </c>
      <c r="E42" s="8" t="s">
        <v>255</v>
      </c>
      <c r="F42" s="8" t="s">
        <v>256</v>
      </c>
      <c r="G42" s="13" t="n">
        <v>0.111</v>
      </c>
      <c r="H42" s="8" t="s">
        <v>103</v>
      </c>
      <c r="I42" s="13" t="n">
        <v>0.889</v>
      </c>
      <c r="J42" s="13" t="n">
        <v>0.444</v>
      </c>
      <c r="K42" s="13" t="n">
        <v>0.444</v>
      </c>
      <c r="L42" s="14" t="n">
        <v>7</v>
      </c>
      <c r="M42" s="8" t="s">
        <v>20</v>
      </c>
      <c r="N42" s="8" t="s">
        <v>128</v>
      </c>
      <c r="O42" s="8" t="s">
        <v>91</v>
      </c>
      <c r="P42" s="15"/>
      <c r="Q42" s="15"/>
    </row>
    <row r="43" customFormat="false" ht="60" hidden="false" customHeight="true" outlineLevel="0" collapsed="false">
      <c r="A43" s="8" t="s">
        <v>257</v>
      </c>
      <c r="B43" s="8" t="s">
        <v>21</v>
      </c>
      <c r="C43" s="8" t="s">
        <v>85</v>
      </c>
      <c r="D43" s="8" t="s">
        <v>165</v>
      </c>
      <c r="E43" s="8" t="s">
        <v>195</v>
      </c>
      <c r="F43" s="8" t="s">
        <v>258</v>
      </c>
      <c r="G43" s="13" t="n">
        <v>0.222</v>
      </c>
      <c r="H43" s="8" t="s">
        <v>213</v>
      </c>
      <c r="I43" s="13" t="n">
        <v>0.333</v>
      </c>
      <c r="J43" s="13" t="n">
        <v>0.444</v>
      </c>
      <c r="K43" s="13" t="n">
        <v>0.444</v>
      </c>
      <c r="L43" s="14" t="n">
        <v>3</v>
      </c>
      <c r="M43" s="8" t="s">
        <v>33</v>
      </c>
      <c r="N43" s="8" t="s">
        <v>151</v>
      </c>
      <c r="O43" s="8" t="s">
        <v>91</v>
      </c>
      <c r="P43" s="15"/>
      <c r="Q43" s="15"/>
    </row>
    <row r="44" customFormat="false" ht="60" hidden="false" customHeight="true" outlineLevel="0" collapsed="false">
      <c r="A44" s="8" t="s">
        <v>259</v>
      </c>
      <c r="B44" s="8" t="s">
        <v>21</v>
      </c>
      <c r="C44" s="8" t="s">
        <v>85</v>
      </c>
      <c r="D44" s="8" t="s">
        <v>260</v>
      </c>
      <c r="E44" s="8" t="s">
        <v>139</v>
      </c>
      <c r="F44" s="8" t="s">
        <v>261</v>
      </c>
      <c r="G44" s="13" t="n">
        <v>0</v>
      </c>
      <c r="H44" s="8" t="s">
        <v>89</v>
      </c>
      <c r="I44" s="13" t="n">
        <v>0.889</v>
      </c>
      <c r="J44" s="13" t="n">
        <v>0.429</v>
      </c>
      <c r="K44" s="13" t="n">
        <v>0.429</v>
      </c>
      <c r="L44" s="14" t="n">
        <v>2</v>
      </c>
      <c r="M44" s="8" t="s">
        <v>25</v>
      </c>
      <c r="N44" s="8" t="s">
        <v>141</v>
      </c>
      <c r="O44" s="8" t="s">
        <v>105</v>
      </c>
      <c r="P44" s="15"/>
      <c r="Q44" s="15"/>
    </row>
    <row r="45" customFormat="false" ht="60" hidden="false" customHeight="true" outlineLevel="0" collapsed="false">
      <c r="A45" s="8" t="s">
        <v>262</v>
      </c>
      <c r="B45" s="8" t="s">
        <v>21</v>
      </c>
      <c r="C45" s="8" t="s">
        <v>96</v>
      </c>
      <c r="D45" s="8" t="s">
        <v>263</v>
      </c>
      <c r="E45" s="8" t="s">
        <v>264</v>
      </c>
      <c r="F45" s="8" t="s">
        <v>265</v>
      </c>
      <c r="G45" s="13" t="n">
        <v>0</v>
      </c>
      <c r="H45" s="8" t="s">
        <v>89</v>
      </c>
      <c r="I45" s="13" t="n">
        <v>0.333</v>
      </c>
      <c r="J45" s="13" t="n">
        <v>0.4</v>
      </c>
      <c r="K45" s="13" t="n">
        <v>0.4</v>
      </c>
      <c r="L45" s="14" t="n">
        <v>5</v>
      </c>
      <c r="M45" s="8" t="s">
        <v>33</v>
      </c>
      <c r="N45" s="8" t="s">
        <v>151</v>
      </c>
      <c r="O45" s="8" t="s">
        <v>91</v>
      </c>
      <c r="P45" s="15"/>
      <c r="Q45" s="15"/>
    </row>
    <row r="46" customFormat="false" ht="60" hidden="false" customHeight="true" outlineLevel="0" collapsed="false">
      <c r="A46" s="8" t="s">
        <v>266</v>
      </c>
      <c r="B46" s="8" t="s">
        <v>21</v>
      </c>
      <c r="C46" s="8" t="s">
        <v>85</v>
      </c>
      <c r="D46" s="8" t="s">
        <v>267</v>
      </c>
      <c r="E46" s="8" t="s">
        <v>216</v>
      </c>
      <c r="F46" s="8" t="s">
        <v>268</v>
      </c>
      <c r="G46" s="13" t="n">
        <v>0</v>
      </c>
      <c r="H46" s="8" t="s">
        <v>89</v>
      </c>
      <c r="I46" s="13" t="n">
        <v>0.889</v>
      </c>
      <c r="J46" s="13" t="n">
        <v>0.4</v>
      </c>
      <c r="K46" s="13" t="n">
        <v>0.4</v>
      </c>
      <c r="L46" s="14" t="n">
        <v>6</v>
      </c>
      <c r="M46" s="8" t="s">
        <v>20</v>
      </c>
      <c r="N46" s="8" t="s">
        <v>94</v>
      </c>
      <c r="O46" s="8" t="s">
        <v>91</v>
      </c>
      <c r="P46" s="15"/>
      <c r="Q46" s="15"/>
    </row>
    <row r="47" customFormat="false" ht="60" hidden="false" customHeight="true" outlineLevel="0" collapsed="false">
      <c r="A47" s="8" t="s">
        <v>269</v>
      </c>
      <c r="B47" s="8" t="s">
        <v>21</v>
      </c>
      <c r="C47" s="8" t="s">
        <v>85</v>
      </c>
      <c r="D47" s="8" t="s">
        <v>270</v>
      </c>
      <c r="E47" s="8" t="s">
        <v>271</v>
      </c>
      <c r="F47" s="8" t="s">
        <v>272</v>
      </c>
      <c r="G47" s="13" t="n">
        <v>0</v>
      </c>
      <c r="H47" s="8" t="s">
        <v>89</v>
      </c>
      <c r="I47" s="13" t="n">
        <v>0</v>
      </c>
      <c r="J47" s="13" t="n">
        <v>0.4</v>
      </c>
      <c r="K47" s="13" t="n">
        <v>0.5</v>
      </c>
      <c r="L47" s="14" t="n">
        <v>8</v>
      </c>
      <c r="M47" s="8" t="s">
        <v>33</v>
      </c>
      <c r="N47" s="8" t="s">
        <v>132</v>
      </c>
      <c r="O47" s="8" t="s">
        <v>91</v>
      </c>
      <c r="P47" s="15"/>
      <c r="Q47" s="15"/>
    </row>
    <row r="48" customFormat="false" ht="60" hidden="false" customHeight="true" outlineLevel="0" collapsed="false">
      <c r="A48" s="8" t="s">
        <v>273</v>
      </c>
      <c r="B48" s="8" t="s">
        <v>21</v>
      </c>
      <c r="C48" s="8" t="s">
        <v>113</v>
      </c>
      <c r="D48" s="8" t="s">
        <v>274</v>
      </c>
      <c r="E48" s="8" t="s">
        <v>275</v>
      </c>
      <c r="F48" s="8" t="s">
        <v>276</v>
      </c>
      <c r="G48" s="13" t="n">
        <v>0</v>
      </c>
      <c r="H48" s="8" t="s">
        <v>89</v>
      </c>
      <c r="I48" s="13" t="n">
        <v>0.889</v>
      </c>
      <c r="J48" s="13" t="n">
        <v>0.4</v>
      </c>
      <c r="K48" s="13" t="n">
        <v>0.4</v>
      </c>
      <c r="L48" s="14" t="n">
        <v>6</v>
      </c>
      <c r="M48" s="8" t="s">
        <v>20</v>
      </c>
      <c r="N48" s="8" t="s">
        <v>128</v>
      </c>
      <c r="O48" s="8" t="s">
        <v>91</v>
      </c>
      <c r="P48" s="15"/>
      <c r="Q48" s="15"/>
    </row>
    <row r="49" customFormat="false" ht="60" hidden="false" customHeight="true" outlineLevel="0" collapsed="false">
      <c r="A49" s="8" t="s">
        <v>277</v>
      </c>
      <c r="B49" s="8" t="s">
        <v>21</v>
      </c>
      <c r="C49" s="8" t="s">
        <v>113</v>
      </c>
      <c r="D49" s="8" t="s">
        <v>278</v>
      </c>
      <c r="E49" s="8" t="s">
        <v>139</v>
      </c>
      <c r="F49" s="8" t="s">
        <v>279</v>
      </c>
      <c r="G49" s="13" t="n">
        <v>0</v>
      </c>
      <c r="H49" s="8" t="s">
        <v>89</v>
      </c>
      <c r="I49" s="13" t="n">
        <v>1</v>
      </c>
      <c r="J49" s="13" t="n">
        <v>0.4</v>
      </c>
      <c r="K49" s="13" t="n">
        <v>0.4</v>
      </c>
      <c r="L49" s="14" t="n">
        <v>7</v>
      </c>
      <c r="M49" s="8" t="s">
        <v>25</v>
      </c>
      <c r="N49" s="8" t="s">
        <v>141</v>
      </c>
      <c r="O49" s="8" t="s">
        <v>105</v>
      </c>
      <c r="P49" s="15"/>
      <c r="Q49" s="15"/>
    </row>
    <row r="50" customFormat="false" ht="60" hidden="false" customHeight="true" outlineLevel="0" collapsed="false">
      <c r="A50" s="8" t="s">
        <v>280</v>
      </c>
      <c r="B50" s="8" t="s">
        <v>21</v>
      </c>
      <c r="C50" s="8" t="s">
        <v>113</v>
      </c>
      <c r="D50" s="8" t="s">
        <v>281</v>
      </c>
      <c r="E50" s="8" t="s">
        <v>282</v>
      </c>
      <c r="F50" s="8" t="s">
        <v>283</v>
      </c>
      <c r="G50" s="13" t="n">
        <v>0</v>
      </c>
      <c r="H50" s="8" t="s">
        <v>89</v>
      </c>
      <c r="I50" s="13" t="n">
        <v>0.889</v>
      </c>
      <c r="J50" s="13" t="n">
        <v>0.4</v>
      </c>
      <c r="K50" s="13" t="n">
        <v>0.4</v>
      </c>
      <c r="L50" s="14" t="n">
        <v>6</v>
      </c>
      <c r="M50" s="8" t="s">
        <v>20</v>
      </c>
      <c r="N50" s="8" t="s">
        <v>128</v>
      </c>
      <c r="O50" s="8" t="s">
        <v>91</v>
      </c>
      <c r="P50" s="15"/>
      <c r="Q50" s="15"/>
    </row>
    <row r="51" customFormat="false" ht="60" hidden="false" customHeight="true" outlineLevel="0" collapsed="false">
      <c r="A51" s="8" t="s">
        <v>284</v>
      </c>
      <c r="B51" s="8" t="s">
        <v>21</v>
      </c>
      <c r="C51" s="8" t="s">
        <v>113</v>
      </c>
      <c r="D51" s="8" t="s">
        <v>270</v>
      </c>
      <c r="E51" s="8" t="s">
        <v>271</v>
      </c>
      <c r="F51" s="8" t="s">
        <v>272</v>
      </c>
      <c r="G51" s="13" t="n">
        <v>0</v>
      </c>
      <c r="H51" s="8" t="s">
        <v>89</v>
      </c>
      <c r="I51" s="13" t="n">
        <v>0.667</v>
      </c>
      <c r="J51" s="13" t="n">
        <v>0.4</v>
      </c>
      <c r="K51" s="13" t="n">
        <v>0.5</v>
      </c>
      <c r="L51" s="14" t="n">
        <v>8</v>
      </c>
      <c r="M51" s="8" t="s">
        <v>20</v>
      </c>
      <c r="N51" s="8" t="s">
        <v>285</v>
      </c>
      <c r="O51" s="8" t="s">
        <v>91</v>
      </c>
      <c r="P51" s="15"/>
      <c r="Q51" s="15"/>
    </row>
    <row r="52" customFormat="false" ht="60" hidden="false" customHeight="true" outlineLevel="0" collapsed="false">
      <c r="A52" s="16" t="s">
        <v>286</v>
      </c>
      <c r="B52" s="16" t="s">
        <v>41</v>
      </c>
      <c r="C52" s="16" t="s">
        <v>99</v>
      </c>
      <c r="D52" s="16" t="s">
        <v>287</v>
      </c>
      <c r="E52" s="16" t="s">
        <v>139</v>
      </c>
      <c r="F52" s="16" t="s">
        <v>288</v>
      </c>
      <c r="G52" s="17" t="n">
        <v>1</v>
      </c>
      <c r="H52" s="16" t="s">
        <v>289</v>
      </c>
      <c r="I52" s="17" t="n">
        <v>0</v>
      </c>
      <c r="J52" s="17" t="n">
        <v>0</v>
      </c>
      <c r="K52" s="17" t="n">
        <v>0</v>
      </c>
      <c r="L52" s="18" t="n">
        <v>2</v>
      </c>
      <c r="M52" s="16" t="s">
        <v>45</v>
      </c>
      <c r="N52" s="16" t="s">
        <v>290</v>
      </c>
      <c r="O52" s="16" t="s">
        <v>91</v>
      </c>
      <c r="P52" s="15"/>
      <c r="Q52" s="15"/>
    </row>
    <row r="53" customFormat="false" ht="60" hidden="false" customHeight="true" outlineLevel="0" collapsed="false">
      <c r="A53" s="16" t="s">
        <v>291</v>
      </c>
      <c r="B53" s="16" t="s">
        <v>41</v>
      </c>
      <c r="C53" s="16" t="s">
        <v>85</v>
      </c>
      <c r="D53" s="16" t="s">
        <v>287</v>
      </c>
      <c r="E53" s="16" t="s">
        <v>139</v>
      </c>
      <c r="F53" s="16" t="s">
        <v>292</v>
      </c>
      <c r="G53" s="17" t="n">
        <v>1</v>
      </c>
      <c r="H53" s="16" t="s">
        <v>289</v>
      </c>
      <c r="I53" s="17" t="n">
        <v>0</v>
      </c>
      <c r="J53" s="17" t="n">
        <v>0</v>
      </c>
      <c r="K53" s="17" t="n">
        <v>0</v>
      </c>
      <c r="L53" s="18" t="n">
        <v>2</v>
      </c>
      <c r="M53" s="16" t="s">
        <v>45</v>
      </c>
      <c r="N53" s="16" t="s">
        <v>290</v>
      </c>
      <c r="O53" s="16" t="s">
        <v>91</v>
      </c>
      <c r="P53" s="15"/>
      <c r="Q53" s="15"/>
    </row>
    <row r="54" customFormat="false" ht="60" hidden="false" customHeight="true" outlineLevel="0" collapsed="false">
      <c r="A54" s="16" t="s">
        <v>293</v>
      </c>
      <c r="B54" s="16" t="s">
        <v>41</v>
      </c>
      <c r="C54" s="16" t="s">
        <v>85</v>
      </c>
      <c r="D54" s="16" t="s">
        <v>294</v>
      </c>
      <c r="E54" s="16" t="s">
        <v>139</v>
      </c>
      <c r="F54" s="16" t="s">
        <v>295</v>
      </c>
      <c r="G54" s="17" t="n">
        <v>1</v>
      </c>
      <c r="H54" s="16" t="s">
        <v>289</v>
      </c>
      <c r="I54" s="17" t="n">
        <v>0.333</v>
      </c>
      <c r="J54" s="17" t="n">
        <v>0</v>
      </c>
      <c r="K54" s="17" t="n">
        <v>0</v>
      </c>
      <c r="L54" s="18" t="n">
        <v>2</v>
      </c>
      <c r="M54" s="16" t="s">
        <v>45</v>
      </c>
      <c r="N54" s="16" t="s">
        <v>290</v>
      </c>
      <c r="O54" s="16" t="s">
        <v>91</v>
      </c>
      <c r="P54" s="15"/>
      <c r="Q54" s="15"/>
    </row>
    <row r="55" customFormat="false" ht="60" hidden="false" customHeight="true" outlineLevel="0" collapsed="false">
      <c r="A55" s="16" t="s">
        <v>296</v>
      </c>
      <c r="B55" s="16" t="s">
        <v>41</v>
      </c>
      <c r="C55" s="16" t="s">
        <v>85</v>
      </c>
      <c r="D55" s="16" t="s">
        <v>297</v>
      </c>
      <c r="E55" s="16" t="s">
        <v>298</v>
      </c>
      <c r="F55" s="16" t="s">
        <v>299</v>
      </c>
      <c r="G55" s="17" t="n">
        <v>1</v>
      </c>
      <c r="H55" s="16" t="s">
        <v>289</v>
      </c>
      <c r="I55" s="17" t="n">
        <v>0.444</v>
      </c>
      <c r="J55" s="17" t="n">
        <v>0</v>
      </c>
      <c r="K55" s="17" t="n">
        <v>0</v>
      </c>
      <c r="L55" s="18" t="n">
        <v>5</v>
      </c>
      <c r="M55" s="16" t="s">
        <v>40</v>
      </c>
      <c r="N55" s="16" t="s">
        <v>300</v>
      </c>
      <c r="O55" s="16" t="s">
        <v>105</v>
      </c>
      <c r="P55" s="15"/>
      <c r="Q55" s="15"/>
    </row>
    <row r="56" customFormat="false" ht="60" hidden="false" customHeight="true" outlineLevel="0" collapsed="false">
      <c r="A56" s="16" t="s">
        <v>301</v>
      </c>
      <c r="B56" s="16" t="s">
        <v>41</v>
      </c>
      <c r="C56" s="16" t="s">
        <v>85</v>
      </c>
      <c r="D56" s="16" t="s">
        <v>302</v>
      </c>
      <c r="E56" s="16" t="s">
        <v>303</v>
      </c>
      <c r="F56" s="16" t="s">
        <v>304</v>
      </c>
      <c r="G56" s="17" t="n">
        <v>1</v>
      </c>
      <c r="H56" s="16" t="s">
        <v>289</v>
      </c>
      <c r="I56" s="17" t="n">
        <v>1</v>
      </c>
      <c r="J56" s="17" t="n">
        <v>0</v>
      </c>
      <c r="K56" s="17" t="n">
        <v>0.571</v>
      </c>
      <c r="L56" s="18" t="n">
        <v>7</v>
      </c>
      <c r="M56" s="16" t="s">
        <v>40</v>
      </c>
      <c r="N56" s="16" t="s">
        <v>305</v>
      </c>
      <c r="O56" s="16" t="s">
        <v>105</v>
      </c>
      <c r="P56" s="15"/>
      <c r="Q56" s="15"/>
    </row>
    <row r="57" customFormat="false" ht="60" hidden="false" customHeight="true" outlineLevel="0" collapsed="false">
      <c r="A57" s="16" t="s">
        <v>306</v>
      </c>
      <c r="B57" s="16" t="s">
        <v>41</v>
      </c>
      <c r="C57" s="16" t="s">
        <v>85</v>
      </c>
      <c r="D57" s="16" t="s">
        <v>307</v>
      </c>
      <c r="E57" s="16" t="s">
        <v>308</v>
      </c>
      <c r="F57" s="16" t="s">
        <v>309</v>
      </c>
      <c r="G57" s="17" t="n">
        <v>1</v>
      </c>
      <c r="H57" s="16" t="s">
        <v>289</v>
      </c>
      <c r="I57" s="17" t="n">
        <v>1</v>
      </c>
      <c r="J57" s="17" t="n">
        <v>0</v>
      </c>
      <c r="K57" s="17" t="n">
        <v>0</v>
      </c>
      <c r="L57" s="18" t="n">
        <v>3</v>
      </c>
      <c r="M57" s="16" t="s">
        <v>40</v>
      </c>
      <c r="N57" s="16" t="s">
        <v>310</v>
      </c>
      <c r="O57" s="16" t="s">
        <v>105</v>
      </c>
      <c r="P57" s="15"/>
      <c r="Q57" s="15"/>
    </row>
    <row r="58" customFormat="false" ht="60" hidden="false" customHeight="true" outlineLevel="0" collapsed="false">
      <c r="A58" s="16" t="s">
        <v>311</v>
      </c>
      <c r="B58" s="16" t="s">
        <v>41</v>
      </c>
      <c r="C58" s="16" t="s">
        <v>96</v>
      </c>
      <c r="D58" s="16" t="s">
        <v>312</v>
      </c>
      <c r="E58" s="16" t="s">
        <v>139</v>
      </c>
      <c r="F58" s="16" t="s">
        <v>313</v>
      </c>
      <c r="G58" s="17" t="n">
        <v>1</v>
      </c>
      <c r="H58" s="16" t="s">
        <v>289</v>
      </c>
      <c r="I58" s="17" t="n">
        <v>0</v>
      </c>
      <c r="J58" s="17" t="n">
        <v>0</v>
      </c>
      <c r="K58" s="17" t="n">
        <v>0</v>
      </c>
      <c r="L58" s="18" t="n">
        <v>1</v>
      </c>
      <c r="M58" s="16" t="s">
        <v>45</v>
      </c>
      <c r="N58" s="16" t="s">
        <v>290</v>
      </c>
      <c r="O58" s="16" t="s">
        <v>91</v>
      </c>
      <c r="P58" s="15"/>
      <c r="Q58" s="15"/>
    </row>
    <row r="59" customFormat="false" ht="60" hidden="false" customHeight="true" outlineLevel="0" collapsed="false">
      <c r="A59" s="16" t="s">
        <v>314</v>
      </c>
      <c r="B59" s="16" t="s">
        <v>41</v>
      </c>
      <c r="C59" s="16" t="s">
        <v>99</v>
      </c>
      <c r="D59" s="16" t="s">
        <v>315</v>
      </c>
      <c r="E59" s="16" t="s">
        <v>316</v>
      </c>
      <c r="F59" s="16" t="s">
        <v>317</v>
      </c>
      <c r="G59" s="17" t="n">
        <v>0.889</v>
      </c>
      <c r="H59" s="16" t="s">
        <v>318</v>
      </c>
      <c r="I59" s="17" t="n">
        <v>0.889</v>
      </c>
      <c r="J59" s="17" t="n">
        <v>0</v>
      </c>
      <c r="K59" s="17" t="n">
        <v>0.667</v>
      </c>
      <c r="L59" s="18" t="n">
        <v>5</v>
      </c>
      <c r="M59" s="16" t="s">
        <v>49</v>
      </c>
      <c r="N59" s="16" t="s">
        <v>319</v>
      </c>
      <c r="O59" s="16" t="s">
        <v>105</v>
      </c>
      <c r="P59" s="15"/>
      <c r="Q59" s="15"/>
    </row>
    <row r="60" customFormat="false" ht="60" hidden="false" customHeight="true" outlineLevel="0" collapsed="false">
      <c r="A60" s="16" t="s">
        <v>320</v>
      </c>
      <c r="B60" s="16" t="s">
        <v>41</v>
      </c>
      <c r="C60" s="16" t="s">
        <v>99</v>
      </c>
      <c r="D60" s="16" t="s">
        <v>321</v>
      </c>
      <c r="E60" s="16" t="s">
        <v>322</v>
      </c>
      <c r="F60" s="16" t="s">
        <v>323</v>
      </c>
      <c r="G60" s="17" t="n">
        <v>0.889</v>
      </c>
      <c r="H60" s="16" t="s">
        <v>324</v>
      </c>
      <c r="I60" s="17" t="n">
        <v>1</v>
      </c>
      <c r="J60" s="17" t="n">
        <v>0</v>
      </c>
      <c r="K60" s="17" t="n">
        <v>0</v>
      </c>
      <c r="L60" s="18" t="n">
        <v>3</v>
      </c>
      <c r="M60" s="16" t="s">
        <v>45</v>
      </c>
      <c r="N60" s="16" t="s">
        <v>290</v>
      </c>
      <c r="O60" s="16" t="s">
        <v>91</v>
      </c>
      <c r="P60" s="15"/>
      <c r="Q60" s="15"/>
    </row>
    <row r="61" customFormat="false" ht="60" hidden="false" customHeight="true" outlineLevel="0" collapsed="false">
      <c r="A61" s="16" t="s">
        <v>325</v>
      </c>
      <c r="B61" s="16" t="s">
        <v>41</v>
      </c>
      <c r="C61" s="16" t="s">
        <v>99</v>
      </c>
      <c r="D61" s="16" t="s">
        <v>326</v>
      </c>
      <c r="E61" s="16" t="s">
        <v>139</v>
      </c>
      <c r="F61" s="16" t="s">
        <v>327</v>
      </c>
      <c r="G61" s="17" t="n">
        <v>0.889</v>
      </c>
      <c r="H61" s="16" t="s">
        <v>318</v>
      </c>
      <c r="I61" s="17" t="n">
        <v>1</v>
      </c>
      <c r="J61" s="17" t="n">
        <v>0</v>
      </c>
      <c r="K61" s="17" t="n">
        <v>0</v>
      </c>
      <c r="L61" s="18" t="n">
        <v>2</v>
      </c>
      <c r="M61" s="16" t="s">
        <v>45</v>
      </c>
      <c r="N61" s="16" t="s">
        <v>290</v>
      </c>
      <c r="O61" s="16" t="s">
        <v>91</v>
      </c>
      <c r="P61" s="15"/>
      <c r="Q61" s="15"/>
    </row>
    <row r="62" customFormat="false" ht="60" hidden="false" customHeight="true" outlineLevel="0" collapsed="false">
      <c r="A62" s="16" t="s">
        <v>328</v>
      </c>
      <c r="B62" s="16" t="s">
        <v>41</v>
      </c>
      <c r="C62" s="16" t="s">
        <v>99</v>
      </c>
      <c r="D62" s="16" t="s">
        <v>329</v>
      </c>
      <c r="E62" s="16" t="s">
        <v>139</v>
      </c>
      <c r="F62" s="16" t="s">
        <v>330</v>
      </c>
      <c r="G62" s="17" t="n">
        <v>0.889</v>
      </c>
      <c r="H62" s="16" t="s">
        <v>318</v>
      </c>
      <c r="I62" s="17" t="n">
        <v>0</v>
      </c>
      <c r="J62" s="17" t="n">
        <v>0</v>
      </c>
      <c r="K62" s="17" t="n">
        <v>0</v>
      </c>
      <c r="L62" s="18" t="n">
        <v>2</v>
      </c>
      <c r="M62" s="16" t="s">
        <v>45</v>
      </c>
      <c r="N62" s="16" t="s">
        <v>290</v>
      </c>
      <c r="O62" s="16" t="s">
        <v>91</v>
      </c>
      <c r="P62" s="15"/>
      <c r="Q62" s="15"/>
    </row>
    <row r="63" customFormat="false" ht="60" hidden="false" customHeight="true" outlineLevel="0" collapsed="false">
      <c r="A63" s="16" t="s">
        <v>331</v>
      </c>
      <c r="B63" s="16" t="s">
        <v>41</v>
      </c>
      <c r="C63" s="16" t="s">
        <v>85</v>
      </c>
      <c r="D63" s="16" t="s">
        <v>332</v>
      </c>
      <c r="E63" s="16" t="s">
        <v>139</v>
      </c>
      <c r="F63" s="16" t="s">
        <v>333</v>
      </c>
      <c r="G63" s="17" t="n">
        <v>0.889</v>
      </c>
      <c r="H63" s="16" t="s">
        <v>334</v>
      </c>
      <c r="I63" s="17" t="n">
        <v>0</v>
      </c>
      <c r="J63" s="17" t="n">
        <v>0</v>
      </c>
      <c r="K63" s="17" t="n">
        <v>0</v>
      </c>
      <c r="L63" s="18" t="n">
        <v>2</v>
      </c>
      <c r="M63" s="16" t="s">
        <v>45</v>
      </c>
      <c r="N63" s="16" t="s">
        <v>290</v>
      </c>
      <c r="O63" s="16" t="s">
        <v>91</v>
      </c>
      <c r="P63" s="15"/>
      <c r="Q63" s="15"/>
    </row>
    <row r="64" customFormat="false" ht="60" hidden="false" customHeight="true" outlineLevel="0" collapsed="false">
      <c r="A64" s="16" t="s">
        <v>335</v>
      </c>
      <c r="B64" s="16" t="s">
        <v>41</v>
      </c>
      <c r="C64" s="16" t="s">
        <v>85</v>
      </c>
      <c r="D64" s="16" t="s">
        <v>336</v>
      </c>
      <c r="E64" s="16" t="s">
        <v>337</v>
      </c>
      <c r="F64" s="16" t="s">
        <v>338</v>
      </c>
      <c r="G64" s="17" t="n">
        <v>0.889</v>
      </c>
      <c r="H64" s="16" t="s">
        <v>334</v>
      </c>
      <c r="I64" s="17" t="n">
        <v>0.333</v>
      </c>
      <c r="J64" s="17" t="n">
        <v>0</v>
      </c>
      <c r="K64" s="17" t="n">
        <v>0.571</v>
      </c>
      <c r="L64" s="18" t="n">
        <v>7</v>
      </c>
      <c r="M64" s="16" t="s">
        <v>40</v>
      </c>
      <c r="N64" s="16" t="s">
        <v>339</v>
      </c>
      <c r="O64" s="16" t="s">
        <v>105</v>
      </c>
      <c r="P64" s="15"/>
      <c r="Q64" s="15"/>
    </row>
    <row r="65" customFormat="false" ht="60" hidden="false" customHeight="true" outlineLevel="0" collapsed="false">
      <c r="A65" s="16" t="s">
        <v>340</v>
      </c>
      <c r="B65" s="16" t="s">
        <v>41</v>
      </c>
      <c r="C65" s="16" t="s">
        <v>85</v>
      </c>
      <c r="D65" s="16" t="s">
        <v>321</v>
      </c>
      <c r="E65" s="16" t="s">
        <v>322</v>
      </c>
      <c r="F65" s="16" t="s">
        <v>341</v>
      </c>
      <c r="G65" s="17" t="n">
        <v>0.889</v>
      </c>
      <c r="H65" s="16" t="s">
        <v>324</v>
      </c>
      <c r="I65" s="17" t="n">
        <v>0.778</v>
      </c>
      <c r="J65" s="17" t="n">
        <v>0</v>
      </c>
      <c r="K65" s="17" t="n">
        <v>0</v>
      </c>
      <c r="L65" s="18" t="n">
        <v>3</v>
      </c>
      <c r="M65" s="16" t="s">
        <v>45</v>
      </c>
      <c r="N65" s="16" t="s">
        <v>290</v>
      </c>
      <c r="O65" s="16" t="s">
        <v>91</v>
      </c>
      <c r="P65" s="15"/>
      <c r="Q65" s="15"/>
    </row>
    <row r="66" customFormat="false" ht="60" hidden="false" customHeight="true" outlineLevel="0" collapsed="false">
      <c r="A66" s="16" t="s">
        <v>342</v>
      </c>
      <c r="B66" s="16" t="s">
        <v>41</v>
      </c>
      <c r="C66" s="16" t="s">
        <v>113</v>
      </c>
      <c r="D66" s="16" t="s">
        <v>343</v>
      </c>
      <c r="E66" s="16" t="s">
        <v>344</v>
      </c>
      <c r="F66" s="16" t="s">
        <v>345</v>
      </c>
      <c r="G66" s="17" t="n">
        <v>0.889</v>
      </c>
      <c r="H66" s="16" t="s">
        <v>334</v>
      </c>
      <c r="I66" s="17" t="n">
        <v>0.667</v>
      </c>
      <c r="J66" s="17" t="n">
        <v>0</v>
      </c>
      <c r="K66" s="17" t="n">
        <v>0</v>
      </c>
      <c r="L66" s="18" t="n">
        <v>3</v>
      </c>
      <c r="M66" s="16" t="s">
        <v>40</v>
      </c>
      <c r="N66" s="16" t="s">
        <v>346</v>
      </c>
      <c r="O66" s="16" t="s">
        <v>105</v>
      </c>
      <c r="P66" s="15"/>
      <c r="Q66" s="15"/>
    </row>
    <row r="67" customFormat="false" ht="60" hidden="false" customHeight="true" outlineLevel="0" collapsed="false">
      <c r="A67" s="16" t="s">
        <v>347</v>
      </c>
      <c r="B67" s="16" t="s">
        <v>41</v>
      </c>
      <c r="C67" s="16" t="s">
        <v>99</v>
      </c>
      <c r="D67" s="16" t="s">
        <v>348</v>
      </c>
      <c r="E67" s="16" t="s">
        <v>139</v>
      </c>
      <c r="F67" s="16" t="s">
        <v>349</v>
      </c>
      <c r="G67" s="17" t="n">
        <v>0.778</v>
      </c>
      <c r="H67" s="16" t="s">
        <v>350</v>
      </c>
      <c r="I67" s="17" t="n">
        <v>1</v>
      </c>
      <c r="J67" s="17" t="n">
        <v>0</v>
      </c>
      <c r="K67" s="17" t="n">
        <v>0</v>
      </c>
      <c r="L67" s="18" t="n">
        <v>2</v>
      </c>
      <c r="M67" s="16" t="s">
        <v>45</v>
      </c>
      <c r="N67" s="16" t="s">
        <v>290</v>
      </c>
      <c r="O67" s="16" t="s">
        <v>91</v>
      </c>
      <c r="P67" s="15"/>
      <c r="Q67" s="15"/>
    </row>
    <row r="68" customFormat="false" ht="60" hidden="false" customHeight="true" outlineLevel="0" collapsed="false">
      <c r="A68" s="16" t="s">
        <v>351</v>
      </c>
      <c r="B68" s="16" t="s">
        <v>41</v>
      </c>
      <c r="C68" s="16" t="s">
        <v>99</v>
      </c>
      <c r="D68" s="16" t="s">
        <v>352</v>
      </c>
      <c r="E68" s="16" t="s">
        <v>139</v>
      </c>
      <c r="F68" s="16" t="s">
        <v>353</v>
      </c>
      <c r="G68" s="17" t="n">
        <v>0.778</v>
      </c>
      <c r="H68" s="16" t="s">
        <v>354</v>
      </c>
      <c r="I68" s="17" t="n">
        <v>0</v>
      </c>
      <c r="J68" s="17" t="n">
        <v>0</v>
      </c>
      <c r="K68" s="17" t="n">
        <v>0</v>
      </c>
      <c r="L68" s="18" t="n">
        <v>2</v>
      </c>
      <c r="M68" s="16" t="s">
        <v>45</v>
      </c>
      <c r="N68" s="16" t="s">
        <v>290</v>
      </c>
      <c r="O68" s="16" t="s">
        <v>91</v>
      </c>
      <c r="P68" s="15"/>
      <c r="Q68" s="15"/>
    </row>
    <row r="69" customFormat="false" ht="60" hidden="false" customHeight="true" outlineLevel="0" collapsed="false">
      <c r="A69" s="16" t="s">
        <v>355</v>
      </c>
      <c r="B69" s="16" t="s">
        <v>41</v>
      </c>
      <c r="C69" s="16" t="s">
        <v>99</v>
      </c>
      <c r="D69" s="16" t="s">
        <v>356</v>
      </c>
      <c r="E69" s="16" t="s">
        <v>357</v>
      </c>
      <c r="F69" s="16" t="s">
        <v>358</v>
      </c>
      <c r="G69" s="17" t="n">
        <v>0.778</v>
      </c>
      <c r="H69" s="16" t="s">
        <v>354</v>
      </c>
      <c r="I69" s="17" t="n">
        <v>0.667</v>
      </c>
      <c r="J69" s="17" t="n">
        <v>0</v>
      </c>
      <c r="K69" s="17" t="n">
        <v>0</v>
      </c>
      <c r="L69" s="18" t="n">
        <v>3</v>
      </c>
      <c r="M69" s="16" t="s">
        <v>53</v>
      </c>
      <c r="N69" s="16" t="s">
        <v>359</v>
      </c>
      <c r="O69" s="16" t="s">
        <v>222</v>
      </c>
      <c r="P69" s="15"/>
      <c r="Q69" s="15"/>
    </row>
    <row r="70" customFormat="false" ht="60" hidden="false" customHeight="true" outlineLevel="0" collapsed="false">
      <c r="A70" s="16" t="s">
        <v>360</v>
      </c>
      <c r="B70" s="16" t="s">
        <v>41</v>
      </c>
      <c r="C70" s="16" t="s">
        <v>99</v>
      </c>
      <c r="D70" s="16" t="s">
        <v>143</v>
      </c>
      <c r="E70" s="16" t="s">
        <v>361</v>
      </c>
      <c r="F70" s="16" t="s">
        <v>139</v>
      </c>
      <c r="G70" s="17" t="n">
        <v>0.778</v>
      </c>
      <c r="H70" s="16" t="s">
        <v>362</v>
      </c>
      <c r="I70" s="17" t="n">
        <v>1</v>
      </c>
      <c r="J70" s="17" t="n">
        <v>0</v>
      </c>
      <c r="K70" s="17" t="n">
        <v>0.286</v>
      </c>
      <c r="L70" s="18" t="n">
        <v>9</v>
      </c>
      <c r="M70" s="16" t="s">
        <v>45</v>
      </c>
      <c r="N70" s="16" t="s">
        <v>363</v>
      </c>
      <c r="O70" s="16" t="s">
        <v>105</v>
      </c>
      <c r="P70" s="15"/>
      <c r="Q70" s="15"/>
    </row>
    <row r="71" customFormat="false" ht="60" hidden="false" customHeight="true" outlineLevel="0" collapsed="false">
      <c r="A71" s="16" t="s">
        <v>364</v>
      </c>
      <c r="B71" s="16" t="s">
        <v>41</v>
      </c>
      <c r="C71" s="16" t="s">
        <v>99</v>
      </c>
      <c r="D71" s="16" t="s">
        <v>365</v>
      </c>
      <c r="E71" s="16" t="s">
        <v>139</v>
      </c>
      <c r="F71" s="16" t="s">
        <v>366</v>
      </c>
      <c r="G71" s="17" t="n">
        <v>0.778</v>
      </c>
      <c r="H71" s="16" t="s">
        <v>362</v>
      </c>
      <c r="I71" s="17" t="n">
        <v>0.778</v>
      </c>
      <c r="J71" s="17" t="n">
        <v>0</v>
      </c>
      <c r="K71" s="17" t="n">
        <v>0</v>
      </c>
      <c r="L71" s="18" t="n">
        <v>2</v>
      </c>
      <c r="M71" s="16" t="s">
        <v>45</v>
      </c>
      <c r="N71" s="16" t="s">
        <v>290</v>
      </c>
      <c r="O71" s="16" t="s">
        <v>91</v>
      </c>
      <c r="P71" s="15"/>
      <c r="Q71" s="15"/>
    </row>
    <row r="72" customFormat="false" ht="60" hidden="false" customHeight="true" outlineLevel="0" collapsed="false">
      <c r="A72" s="16" t="s">
        <v>367</v>
      </c>
      <c r="B72" s="16" t="s">
        <v>41</v>
      </c>
      <c r="C72" s="16" t="s">
        <v>113</v>
      </c>
      <c r="D72" s="16" t="s">
        <v>368</v>
      </c>
      <c r="E72" s="16" t="s">
        <v>369</v>
      </c>
      <c r="F72" s="16" t="s">
        <v>370</v>
      </c>
      <c r="G72" s="17" t="n">
        <v>0.778</v>
      </c>
      <c r="H72" s="16" t="s">
        <v>350</v>
      </c>
      <c r="I72" s="17" t="n">
        <v>1</v>
      </c>
      <c r="J72" s="17" t="n">
        <v>0</v>
      </c>
      <c r="K72" s="17" t="n">
        <v>0</v>
      </c>
      <c r="L72" s="18" t="n">
        <v>3</v>
      </c>
      <c r="M72" s="16" t="s">
        <v>40</v>
      </c>
      <c r="N72" s="16" t="s">
        <v>371</v>
      </c>
      <c r="O72" s="16" t="s">
        <v>105</v>
      </c>
      <c r="P72" s="15"/>
      <c r="Q72" s="15"/>
    </row>
    <row r="73" customFormat="false" ht="60" hidden="false" customHeight="true" outlineLevel="0" collapsed="false">
      <c r="A73" s="16" t="s">
        <v>372</v>
      </c>
      <c r="B73" s="16" t="s">
        <v>41</v>
      </c>
      <c r="C73" s="16" t="s">
        <v>113</v>
      </c>
      <c r="D73" s="16" t="s">
        <v>373</v>
      </c>
      <c r="E73" s="16" t="s">
        <v>374</v>
      </c>
      <c r="F73" s="16" t="s">
        <v>375</v>
      </c>
      <c r="G73" s="17" t="n">
        <v>0.778</v>
      </c>
      <c r="H73" s="16" t="s">
        <v>350</v>
      </c>
      <c r="I73" s="17" t="n">
        <v>0.444</v>
      </c>
      <c r="J73" s="17" t="n">
        <v>0</v>
      </c>
      <c r="K73" s="17" t="n">
        <v>0</v>
      </c>
      <c r="L73" s="18" t="n">
        <v>1</v>
      </c>
      <c r="M73" s="16" t="s">
        <v>53</v>
      </c>
      <c r="N73" s="16" t="s">
        <v>359</v>
      </c>
      <c r="O73" s="16" t="s">
        <v>222</v>
      </c>
      <c r="P73" s="15"/>
      <c r="Q73" s="15"/>
    </row>
    <row r="74" customFormat="false" ht="60" hidden="false" customHeight="true" outlineLevel="0" collapsed="false">
      <c r="A74" s="16" t="s">
        <v>376</v>
      </c>
      <c r="B74" s="16" t="s">
        <v>41</v>
      </c>
      <c r="C74" s="16" t="s">
        <v>113</v>
      </c>
      <c r="D74" s="16" t="s">
        <v>377</v>
      </c>
      <c r="E74" s="16" t="s">
        <v>139</v>
      </c>
      <c r="F74" s="16" t="s">
        <v>126</v>
      </c>
      <c r="G74" s="17" t="n">
        <v>0.778</v>
      </c>
      <c r="H74" s="16" t="s">
        <v>354</v>
      </c>
      <c r="I74" s="17" t="n">
        <v>0.222</v>
      </c>
      <c r="J74" s="17" t="n">
        <v>0</v>
      </c>
      <c r="K74" s="17" t="n">
        <v>0</v>
      </c>
      <c r="L74" s="18" t="n">
        <v>2</v>
      </c>
      <c r="M74" s="16" t="s">
        <v>45</v>
      </c>
      <c r="N74" s="16" t="s">
        <v>290</v>
      </c>
      <c r="O74" s="16" t="s">
        <v>91</v>
      </c>
      <c r="P74" s="15"/>
      <c r="Q74" s="15"/>
    </row>
    <row r="75" customFormat="false" ht="60" hidden="false" customHeight="true" outlineLevel="0" collapsed="false">
      <c r="A75" s="16" t="s">
        <v>378</v>
      </c>
      <c r="B75" s="16" t="s">
        <v>41</v>
      </c>
      <c r="C75" s="16" t="s">
        <v>113</v>
      </c>
      <c r="D75" s="16" t="s">
        <v>379</v>
      </c>
      <c r="E75" s="16" t="s">
        <v>380</v>
      </c>
      <c r="F75" s="16" t="s">
        <v>381</v>
      </c>
      <c r="G75" s="17" t="n">
        <v>0.778</v>
      </c>
      <c r="H75" s="16" t="s">
        <v>354</v>
      </c>
      <c r="I75" s="17" t="n">
        <v>0.556</v>
      </c>
      <c r="J75" s="17" t="n">
        <v>0</v>
      </c>
      <c r="K75" s="17" t="n">
        <v>1</v>
      </c>
      <c r="L75" s="18" t="n">
        <v>6</v>
      </c>
      <c r="M75" s="16" t="s">
        <v>49</v>
      </c>
      <c r="N75" s="16" t="s">
        <v>382</v>
      </c>
      <c r="O75" s="16" t="s">
        <v>105</v>
      </c>
      <c r="P75" s="15"/>
      <c r="Q75" s="15"/>
    </row>
    <row r="76" customFormat="false" ht="60" hidden="false" customHeight="true" outlineLevel="0" collapsed="false">
      <c r="A76" s="16" t="s">
        <v>383</v>
      </c>
      <c r="B76" s="16" t="s">
        <v>41</v>
      </c>
      <c r="C76" s="16" t="s">
        <v>96</v>
      </c>
      <c r="D76" s="16" t="s">
        <v>287</v>
      </c>
      <c r="E76" s="16" t="s">
        <v>139</v>
      </c>
      <c r="F76" s="16" t="s">
        <v>384</v>
      </c>
      <c r="G76" s="17" t="n">
        <v>0.778</v>
      </c>
      <c r="H76" s="16" t="s">
        <v>362</v>
      </c>
      <c r="I76" s="17" t="n">
        <v>0</v>
      </c>
      <c r="J76" s="17" t="n">
        <v>0</v>
      </c>
      <c r="K76" s="17" t="n">
        <v>0</v>
      </c>
      <c r="L76" s="18" t="n">
        <v>2</v>
      </c>
      <c r="M76" s="16" t="s">
        <v>45</v>
      </c>
      <c r="N76" s="16" t="s">
        <v>290</v>
      </c>
      <c r="O76" s="16" t="s">
        <v>91</v>
      </c>
      <c r="P76" s="15"/>
      <c r="Q76" s="15"/>
    </row>
    <row r="77" customFormat="false" ht="60" hidden="false" customHeight="true" outlineLevel="0" collapsed="false">
      <c r="A77" s="16" t="s">
        <v>385</v>
      </c>
      <c r="B77" s="16" t="s">
        <v>41</v>
      </c>
      <c r="C77" s="16" t="s">
        <v>96</v>
      </c>
      <c r="D77" s="16" t="s">
        <v>386</v>
      </c>
      <c r="E77" s="16" t="s">
        <v>387</v>
      </c>
      <c r="F77" s="16" t="s">
        <v>192</v>
      </c>
      <c r="G77" s="17" t="n">
        <v>0.778</v>
      </c>
      <c r="H77" s="16" t="s">
        <v>388</v>
      </c>
      <c r="I77" s="17" t="n">
        <v>0.889</v>
      </c>
      <c r="J77" s="17" t="n">
        <v>0</v>
      </c>
      <c r="K77" s="17" t="n">
        <v>0.5</v>
      </c>
      <c r="L77" s="18" t="n">
        <v>7</v>
      </c>
      <c r="M77" s="16" t="s">
        <v>49</v>
      </c>
      <c r="N77" s="16" t="s">
        <v>389</v>
      </c>
      <c r="O77" s="16" t="s">
        <v>105</v>
      </c>
      <c r="P77" s="15"/>
      <c r="Q77" s="15"/>
    </row>
    <row r="78" customFormat="false" ht="60" hidden="false" customHeight="true" outlineLevel="0" collapsed="false">
      <c r="A78" s="16" t="s">
        <v>390</v>
      </c>
      <c r="B78" s="16" t="s">
        <v>41</v>
      </c>
      <c r="C78" s="16" t="s">
        <v>96</v>
      </c>
      <c r="D78" s="16" t="s">
        <v>391</v>
      </c>
      <c r="E78" s="16" t="s">
        <v>392</v>
      </c>
      <c r="F78" s="16" t="s">
        <v>393</v>
      </c>
      <c r="G78" s="17" t="n">
        <v>0.778</v>
      </c>
      <c r="H78" s="16" t="s">
        <v>388</v>
      </c>
      <c r="I78" s="17" t="n">
        <v>0.889</v>
      </c>
      <c r="J78" s="17" t="n">
        <v>0</v>
      </c>
      <c r="K78" s="17" t="n">
        <v>0.222</v>
      </c>
      <c r="L78" s="18" t="n">
        <v>3</v>
      </c>
      <c r="M78" s="16" t="s">
        <v>40</v>
      </c>
      <c r="N78" s="16" t="s">
        <v>300</v>
      </c>
      <c r="O78" s="16" t="s">
        <v>105</v>
      </c>
      <c r="P78" s="15"/>
      <c r="Q78" s="15"/>
    </row>
    <row r="79" customFormat="false" ht="60" hidden="false" customHeight="true" outlineLevel="0" collapsed="false">
      <c r="A79" s="16" t="s">
        <v>394</v>
      </c>
      <c r="B79" s="16" t="s">
        <v>41</v>
      </c>
      <c r="C79" s="16" t="s">
        <v>96</v>
      </c>
      <c r="D79" s="16" t="s">
        <v>395</v>
      </c>
      <c r="E79" s="16" t="s">
        <v>396</v>
      </c>
      <c r="F79" s="16" t="s">
        <v>397</v>
      </c>
      <c r="G79" s="17" t="n">
        <v>0.778</v>
      </c>
      <c r="H79" s="16" t="s">
        <v>388</v>
      </c>
      <c r="I79" s="17" t="n">
        <v>0.667</v>
      </c>
      <c r="J79" s="17" t="n">
        <v>0</v>
      </c>
      <c r="K79" s="17" t="n">
        <v>0</v>
      </c>
      <c r="L79" s="18" t="n">
        <v>3</v>
      </c>
      <c r="M79" s="16" t="s">
        <v>53</v>
      </c>
      <c r="N79" s="16" t="s">
        <v>359</v>
      </c>
      <c r="O79" s="16" t="s">
        <v>222</v>
      </c>
      <c r="P79" s="15"/>
      <c r="Q79" s="15"/>
    </row>
    <row r="80" customFormat="false" ht="60" hidden="false" customHeight="true" outlineLevel="0" collapsed="false">
      <c r="A80" s="16" t="s">
        <v>398</v>
      </c>
      <c r="B80" s="16" t="s">
        <v>41</v>
      </c>
      <c r="C80" s="16" t="s">
        <v>99</v>
      </c>
      <c r="D80" s="16" t="s">
        <v>399</v>
      </c>
      <c r="E80" s="16" t="s">
        <v>139</v>
      </c>
      <c r="F80" s="16" t="s">
        <v>400</v>
      </c>
      <c r="G80" s="17" t="n">
        <v>0.667</v>
      </c>
      <c r="H80" s="16" t="s">
        <v>401</v>
      </c>
      <c r="I80" s="17" t="n">
        <v>0.333</v>
      </c>
      <c r="J80" s="17" t="n">
        <v>0</v>
      </c>
      <c r="K80" s="17" t="n">
        <v>0</v>
      </c>
      <c r="L80" s="18" t="n">
        <v>2</v>
      </c>
      <c r="M80" s="16" t="s">
        <v>45</v>
      </c>
      <c r="N80" s="16" t="s">
        <v>290</v>
      </c>
      <c r="O80" s="16" t="s">
        <v>91</v>
      </c>
      <c r="P80" s="15"/>
      <c r="Q80" s="15"/>
    </row>
    <row r="81" customFormat="false" ht="60" hidden="false" customHeight="true" outlineLevel="0" collapsed="false">
      <c r="A81" s="16" t="s">
        <v>402</v>
      </c>
      <c r="B81" s="16" t="s">
        <v>41</v>
      </c>
      <c r="C81" s="16" t="s">
        <v>99</v>
      </c>
      <c r="D81" s="16" t="s">
        <v>332</v>
      </c>
      <c r="E81" s="16" t="s">
        <v>139</v>
      </c>
      <c r="F81" s="16" t="s">
        <v>333</v>
      </c>
      <c r="G81" s="17" t="n">
        <v>0.667</v>
      </c>
      <c r="H81" s="16" t="s">
        <v>403</v>
      </c>
      <c r="I81" s="17" t="n">
        <v>0</v>
      </c>
      <c r="J81" s="17" t="n">
        <v>0</v>
      </c>
      <c r="K81" s="17" t="n">
        <v>0</v>
      </c>
      <c r="L81" s="18" t="n">
        <v>2</v>
      </c>
      <c r="M81" s="16" t="s">
        <v>45</v>
      </c>
      <c r="N81" s="16" t="s">
        <v>290</v>
      </c>
      <c r="O81" s="16" t="s">
        <v>91</v>
      </c>
      <c r="P81" s="15"/>
      <c r="Q81" s="15"/>
    </row>
    <row r="82" customFormat="false" ht="60" hidden="false" customHeight="true" outlineLevel="0" collapsed="false">
      <c r="A82" s="16" t="s">
        <v>404</v>
      </c>
      <c r="B82" s="16" t="s">
        <v>41</v>
      </c>
      <c r="C82" s="16" t="s">
        <v>99</v>
      </c>
      <c r="D82" s="16" t="s">
        <v>405</v>
      </c>
      <c r="E82" s="16" t="s">
        <v>139</v>
      </c>
      <c r="F82" s="16" t="s">
        <v>406</v>
      </c>
      <c r="G82" s="17" t="n">
        <v>0.667</v>
      </c>
      <c r="H82" s="16" t="s">
        <v>407</v>
      </c>
      <c r="I82" s="17" t="n">
        <v>0</v>
      </c>
      <c r="J82" s="17" t="n">
        <v>0</v>
      </c>
      <c r="K82" s="17" t="n">
        <v>0</v>
      </c>
      <c r="L82" s="18" t="n">
        <v>2</v>
      </c>
      <c r="M82" s="16" t="s">
        <v>45</v>
      </c>
      <c r="N82" s="16" t="s">
        <v>290</v>
      </c>
      <c r="O82" s="16" t="s">
        <v>91</v>
      </c>
      <c r="P82" s="15"/>
      <c r="Q82" s="15"/>
    </row>
    <row r="83" customFormat="false" ht="60" hidden="false" customHeight="true" outlineLevel="0" collapsed="false">
      <c r="A83" s="16" t="s">
        <v>408</v>
      </c>
      <c r="B83" s="16" t="s">
        <v>41</v>
      </c>
      <c r="C83" s="16" t="s">
        <v>99</v>
      </c>
      <c r="D83" s="16" t="s">
        <v>409</v>
      </c>
      <c r="E83" s="16" t="s">
        <v>139</v>
      </c>
      <c r="F83" s="16" t="s">
        <v>410</v>
      </c>
      <c r="G83" s="17" t="n">
        <v>0.667</v>
      </c>
      <c r="H83" s="16" t="s">
        <v>411</v>
      </c>
      <c r="I83" s="17" t="n">
        <v>0.333</v>
      </c>
      <c r="J83" s="17" t="n">
        <v>0</v>
      </c>
      <c r="K83" s="17" t="n">
        <v>0</v>
      </c>
      <c r="L83" s="18" t="n">
        <v>2</v>
      </c>
      <c r="M83" s="16" t="s">
        <v>45</v>
      </c>
      <c r="N83" s="16" t="s">
        <v>290</v>
      </c>
      <c r="O83" s="16" t="s">
        <v>91</v>
      </c>
      <c r="P83" s="15"/>
      <c r="Q83" s="15"/>
    </row>
    <row r="84" customFormat="false" ht="60" hidden="false" customHeight="true" outlineLevel="0" collapsed="false">
      <c r="A84" s="16" t="s">
        <v>412</v>
      </c>
      <c r="B84" s="16" t="s">
        <v>41</v>
      </c>
      <c r="C84" s="16" t="s">
        <v>99</v>
      </c>
      <c r="D84" s="16" t="s">
        <v>377</v>
      </c>
      <c r="E84" s="16" t="s">
        <v>139</v>
      </c>
      <c r="F84" s="16" t="s">
        <v>413</v>
      </c>
      <c r="G84" s="17" t="n">
        <v>0.667</v>
      </c>
      <c r="H84" s="16" t="s">
        <v>414</v>
      </c>
      <c r="I84" s="17" t="n">
        <v>0.222</v>
      </c>
      <c r="J84" s="17" t="n">
        <v>0</v>
      </c>
      <c r="K84" s="17" t="n">
        <v>0</v>
      </c>
      <c r="L84" s="18" t="n">
        <v>2</v>
      </c>
      <c r="M84" s="16" t="s">
        <v>45</v>
      </c>
      <c r="N84" s="16" t="s">
        <v>290</v>
      </c>
      <c r="O84" s="16" t="s">
        <v>91</v>
      </c>
      <c r="P84" s="15"/>
      <c r="Q84" s="15"/>
    </row>
    <row r="85" customFormat="false" ht="60" hidden="false" customHeight="true" outlineLevel="0" collapsed="false">
      <c r="A85" s="16" t="s">
        <v>415</v>
      </c>
      <c r="B85" s="16" t="s">
        <v>41</v>
      </c>
      <c r="C85" s="16" t="s">
        <v>99</v>
      </c>
      <c r="D85" s="16" t="s">
        <v>416</v>
      </c>
      <c r="E85" s="16" t="s">
        <v>417</v>
      </c>
      <c r="F85" s="16" t="s">
        <v>322</v>
      </c>
      <c r="G85" s="17" t="n">
        <v>0.667</v>
      </c>
      <c r="H85" s="16" t="s">
        <v>418</v>
      </c>
      <c r="I85" s="17" t="n">
        <v>1</v>
      </c>
      <c r="J85" s="17" t="n">
        <v>0</v>
      </c>
      <c r="K85" s="17" t="n">
        <v>0</v>
      </c>
      <c r="L85" s="18" t="n">
        <v>5</v>
      </c>
      <c r="M85" s="16" t="s">
        <v>45</v>
      </c>
      <c r="N85" s="16" t="s">
        <v>363</v>
      </c>
      <c r="O85" s="16" t="s">
        <v>105</v>
      </c>
      <c r="P85" s="15"/>
      <c r="Q85" s="15"/>
    </row>
    <row r="86" customFormat="false" ht="60" hidden="false" customHeight="true" outlineLevel="0" collapsed="false">
      <c r="A86" s="16" t="s">
        <v>419</v>
      </c>
      <c r="B86" s="16" t="s">
        <v>41</v>
      </c>
      <c r="C86" s="16" t="s">
        <v>99</v>
      </c>
      <c r="D86" s="16" t="s">
        <v>420</v>
      </c>
      <c r="E86" s="16" t="s">
        <v>421</v>
      </c>
      <c r="F86" s="16" t="s">
        <v>353</v>
      </c>
      <c r="G86" s="17" t="n">
        <v>0.667</v>
      </c>
      <c r="H86" s="16" t="s">
        <v>422</v>
      </c>
      <c r="I86" s="17" t="n">
        <v>0.778</v>
      </c>
      <c r="J86" s="17" t="n">
        <v>0</v>
      </c>
      <c r="K86" s="17" t="n">
        <v>0.667</v>
      </c>
      <c r="L86" s="18" t="n">
        <v>9</v>
      </c>
      <c r="M86" s="16" t="s">
        <v>49</v>
      </c>
      <c r="N86" s="16" t="s">
        <v>319</v>
      </c>
      <c r="O86" s="16" t="s">
        <v>105</v>
      </c>
      <c r="P86" s="15"/>
      <c r="Q86" s="15"/>
    </row>
    <row r="87" customFormat="false" ht="60" hidden="false" customHeight="true" outlineLevel="0" collapsed="false">
      <c r="A87" s="16" t="s">
        <v>423</v>
      </c>
      <c r="B87" s="16" t="s">
        <v>41</v>
      </c>
      <c r="C87" s="16" t="s">
        <v>99</v>
      </c>
      <c r="D87" s="16" t="s">
        <v>424</v>
      </c>
      <c r="E87" s="16" t="s">
        <v>139</v>
      </c>
      <c r="F87" s="16" t="s">
        <v>425</v>
      </c>
      <c r="G87" s="17" t="n">
        <v>0.667</v>
      </c>
      <c r="H87" s="16" t="s">
        <v>426</v>
      </c>
      <c r="I87" s="17" t="n">
        <v>1</v>
      </c>
      <c r="J87" s="17" t="n">
        <v>0</v>
      </c>
      <c r="K87" s="17" t="n">
        <v>0</v>
      </c>
      <c r="L87" s="18" t="n">
        <v>2</v>
      </c>
      <c r="M87" s="16" t="s">
        <v>45</v>
      </c>
      <c r="N87" s="16" t="s">
        <v>290</v>
      </c>
      <c r="O87" s="16" t="s">
        <v>91</v>
      </c>
      <c r="P87" s="15"/>
      <c r="Q87" s="15"/>
    </row>
    <row r="88" customFormat="false" ht="60" hidden="false" customHeight="true" outlineLevel="0" collapsed="false">
      <c r="A88" s="16" t="s">
        <v>427</v>
      </c>
      <c r="B88" s="16" t="s">
        <v>41</v>
      </c>
      <c r="C88" s="16" t="s">
        <v>85</v>
      </c>
      <c r="D88" s="16" t="s">
        <v>428</v>
      </c>
      <c r="E88" s="16" t="s">
        <v>139</v>
      </c>
      <c r="F88" s="16" t="s">
        <v>429</v>
      </c>
      <c r="G88" s="17" t="n">
        <v>0.667</v>
      </c>
      <c r="H88" s="16" t="s">
        <v>430</v>
      </c>
      <c r="I88" s="17" t="n">
        <v>0</v>
      </c>
      <c r="J88" s="17" t="n">
        <v>0</v>
      </c>
      <c r="K88" s="17" t="n">
        <v>0</v>
      </c>
      <c r="L88" s="18" t="n">
        <v>2</v>
      </c>
      <c r="M88" s="16" t="s">
        <v>45</v>
      </c>
      <c r="N88" s="16" t="s">
        <v>290</v>
      </c>
      <c r="O88" s="16" t="s">
        <v>91</v>
      </c>
      <c r="P88" s="15"/>
      <c r="Q88" s="15"/>
    </row>
    <row r="89" customFormat="false" ht="60" hidden="false" customHeight="true" outlineLevel="0" collapsed="false">
      <c r="A89" s="16" t="s">
        <v>431</v>
      </c>
      <c r="B89" s="16" t="s">
        <v>41</v>
      </c>
      <c r="C89" s="16" t="s">
        <v>85</v>
      </c>
      <c r="D89" s="16" t="s">
        <v>228</v>
      </c>
      <c r="E89" s="16" t="s">
        <v>229</v>
      </c>
      <c r="F89" s="16" t="s">
        <v>432</v>
      </c>
      <c r="G89" s="17" t="n">
        <v>0.667</v>
      </c>
      <c r="H89" s="16" t="s">
        <v>407</v>
      </c>
      <c r="I89" s="17" t="n">
        <v>0.333</v>
      </c>
      <c r="J89" s="17" t="n">
        <v>0</v>
      </c>
      <c r="K89" s="17" t="n">
        <v>0</v>
      </c>
      <c r="L89" s="18" t="n">
        <v>6</v>
      </c>
      <c r="M89" s="16" t="s">
        <v>53</v>
      </c>
      <c r="N89" s="16" t="s">
        <v>359</v>
      </c>
      <c r="O89" s="16" t="s">
        <v>222</v>
      </c>
      <c r="P89" s="15"/>
      <c r="Q89" s="15"/>
    </row>
    <row r="90" customFormat="false" ht="60" hidden="false" customHeight="true" outlineLevel="0" collapsed="false">
      <c r="A90" s="16" t="s">
        <v>433</v>
      </c>
      <c r="B90" s="16" t="s">
        <v>41</v>
      </c>
      <c r="C90" s="16" t="s">
        <v>85</v>
      </c>
      <c r="D90" s="16" t="s">
        <v>434</v>
      </c>
      <c r="E90" s="16" t="s">
        <v>435</v>
      </c>
      <c r="F90" s="16" t="s">
        <v>436</v>
      </c>
      <c r="G90" s="17" t="n">
        <v>0.667</v>
      </c>
      <c r="H90" s="16" t="s">
        <v>414</v>
      </c>
      <c r="I90" s="17" t="n">
        <v>0.667</v>
      </c>
      <c r="J90" s="17" t="n">
        <v>0</v>
      </c>
      <c r="K90" s="17" t="n">
        <v>0.286</v>
      </c>
      <c r="L90" s="18" t="n">
        <v>7</v>
      </c>
      <c r="M90" s="16" t="s">
        <v>40</v>
      </c>
      <c r="N90" s="16" t="s">
        <v>346</v>
      </c>
      <c r="O90" s="16" t="s">
        <v>105</v>
      </c>
      <c r="P90" s="15"/>
      <c r="Q90" s="15"/>
    </row>
    <row r="91" customFormat="false" ht="60" hidden="false" customHeight="true" outlineLevel="0" collapsed="false">
      <c r="A91" s="16" t="s">
        <v>437</v>
      </c>
      <c r="B91" s="16" t="s">
        <v>41</v>
      </c>
      <c r="C91" s="16" t="s">
        <v>85</v>
      </c>
      <c r="D91" s="16" t="s">
        <v>438</v>
      </c>
      <c r="E91" s="16" t="s">
        <v>439</v>
      </c>
      <c r="F91" s="16" t="s">
        <v>440</v>
      </c>
      <c r="G91" s="17" t="n">
        <v>0.667</v>
      </c>
      <c r="H91" s="16" t="s">
        <v>430</v>
      </c>
      <c r="I91" s="17" t="n">
        <v>0.667</v>
      </c>
      <c r="J91" s="17" t="n">
        <v>0</v>
      </c>
      <c r="K91" s="17" t="n">
        <v>0.5</v>
      </c>
      <c r="L91" s="18" t="n">
        <v>6</v>
      </c>
      <c r="M91" s="16" t="s">
        <v>49</v>
      </c>
      <c r="N91" s="16" t="s">
        <v>389</v>
      </c>
      <c r="O91" s="16" t="s">
        <v>105</v>
      </c>
      <c r="P91" s="15"/>
      <c r="Q91" s="15"/>
    </row>
    <row r="92" customFormat="false" ht="60" hidden="false" customHeight="true" outlineLevel="0" collapsed="false">
      <c r="A92" s="16" t="s">
        <v>441</v>
      </c>
      <c r="B92" s="16" t="s">
        <v>41</v>
      </c>
      <c r="C92" s="16" t="s">
        <v>85</v>
      </c>
      <c r="D92" s="16" t="s">
        <v>365</v>
      </c>
      <c r="E92" s="16" t="s">
        <v>139</v>
      </c>
      <c r="F92" s="16" t="s">
        <v>366</v>
      </c>
      <c r="G92" s="17" t="n">
        <v>0.667</v>
      </c>
      <c r="H92" s="16" t="s">
        <v>430</v>
      </c>
      <c r="I92" s="17" t="n">
        <v>0.667</v>
      </c>
      <c r="J92" s="17" t="n">
        <v>0</v>
      </c>
      <c r="K92" s="17" t="n">
        <v>0</v>
      </c>
      <c r="L92" s="18" t="n">
        <v>2</v>
      </c>
      <c r="M92" s="16" t="s">
        <v>45</v>
      </c>
      <c r="N92" s="16" t="s">
        <v>290</v>
      </c>
      <c r="O92" s="16" t="s">
        <v>91</v>
      </c>
      <c r="P92" s="15"/>
      <c r="Q92" s="15"/>
    </row>
    <row r="93" customFormat="false" ht="60" hidden="false" customHeight="true" outlineLevel="0" collapsed="false">
      <c r="A93" s="16" t="s">
        <v>442</v>
      </c>
      <c r="B93" s="16" t="s">
        <v>41</v>
      </c>
      <c r="C93" s="16" t="s">
        <v>113</v>
      </c>
      <c r="D93" s="16" t="s">
        <v>428</v>
      </c>
      <c r="E93" s="16" t="s">
        <v>139</v>
      </c>
      <c r="F93" s="16" t="s">
        <v>443</v>
      </c>
      <c r="G93" s="17" t="n">
        <v>0.667</v>
      </c>
      <c r="H93" s="16" t="s">
        <v>430</v>
      </c>
      <c r="I93" s="17" t="n">
        <v>1</v>
      </c>
      <c r="J93" s="17" t="n">
        <v>0</v>
      </c>
      <c r="K93" s="17" t="n">
        <v>0</v>
      </c>
      <c r="L93" s="18" t="n">
        <v>2</v>
      </c>
      <c r="M93" s="16" t="s">
        <v>45</v>
      </c>
      <c r="N93" s="16" t="s">
        <v>290</v>
      </c>
      <c r="O93" s="16" t="s">
        <v>91</v>
      </c>
      <c r="P93" s="15"/>
      <c r="Q93" s="15"/>
    </row>
    <row r="94" customFormat="false" ht="60" hidden="false" customHeight="true" outlineLevel="0" collapsed="false">
      <c r="A94" s="16" t="s">
        <v>444</v>
      </c>
      <c r="B94" s="16" t="s">
        <v>41</v>
      </c>
      <c r="C94" s="16" t="s">
        <v>96</v>
      </c>
      <c r="D94" s="16" t="s">
        <v>445</v>
      </c>
      <c r="E94" s="16" t="s">
        <v>139</v>
      </c>
      <c r="F94" s="16" t="s">
        <v>366</v>
      </c>
      <c r="G94" s="17" t="n">
        <v>0.667</v>
      </c>
      <c r="H94" s="16" t="s">
        <v>418</v>
      </c>
      <c r="I94" s="17" t="n">
        <v>0</v>
      </c>
      <c r="J94" s="17" t="n">
        <v>0</v>
      </c>
      <c r="K94" s="17" t="n">
        <v>0</v>
      </c>
      <c r="L94" s="18" t="n">
        <v>1</v>
      </c>
      <c r="M94" s="16" t="s">
        <v>45</v>
      </c>
      <c r="N94" s="16" t="s">
        <v>290</v>
      </c>
      <c r="O94" s="16" t="s">
        <v>91</v>
      </c>
      <c r="P94" s="15"/>
      <c r="Q94" s="15"/>
    </row>
    <row r="95" customFormat="false" ht="60" hidden="false" customHeight="true" outlineLevel="0" collapsed="false">
      <c r="A95" s="16" t="s">
        <v>446</v>
      </c>
      <c r="B95" s="16" t="s">
        <v>41</v>
      </c>
      <c r="C95" s="16" t="s">
        <v>96</v>
      </c>
      <c r="D95" s="16" t="s">
        <v>447</v>
      </c>
      <c r="E95" s="16" t="s">
        <v>448</v>
      </c>
      <c r="F95" s="16" t="s">
        <v>449</v>
      </c>
      <c r="G95" s="17" t="n">
        <v>0.667</v>
      </c>
      <c r="H95" s="16" t="s">
        <v>418</v>
      </c>
      <c r="I95" s="17" t="n">
        <v>0.556</v>
      </c>
      <c r="J95" s="17" t="n">
        <v>0</v>
      </c>
      <c r="K95" s="17" t="n">
        <v>0.5</v>
      </c>
      <c r="L95" s="18" t="n">
        <v>5</v>
      </c>
      <c r="M95" s="16" t="s">
        <v>49</v>
      </c>
      <c r="N95" s="16" t="s">
        <v>389</v>
      </c>
      <c r="O95" s="16" t="s">
        <v>105</v>
      </c>
      <c r="P95" s="15"/>
      <c r="Q95" s="15"/>
    </row>
    <row r="96" customFormat="false" ht="60" hidden="false" customHeight="true" outlineLevel="0" collapsed="false">
      <c r="A96" s="16" t="s">
        <v>450</v>
      </c>
      <c r="B96" s="16" t="s">
        <v>41</v>
      </c>
      <c r="C96" s="16" t="s">
        <v>96</v>
      </c>
      <c r="D96" s="16" t="s">
        <v>451</v>
      </c>
      <c r="E96" s="16" t="s">
        <v>452</v>
      </c>
      <c r="F96" s="16" t="s">
        <v>453</v>
      </c>
      <c r="G96" s="17" t="n">
        <v>0.667</v>
      </c>
      <c r="H96" s="16" t="s">
        <v>403</v>
      </c>
      <c r="I96" s="17" t="n">
        <v>1</v>
      </c>
      <c r="J96" s="17" t="n">
        <v>0</v>
      </c>
      <c r="K96" s="17" t="n">
        <v>0</v>
      </c>
      <c r="L96" s="18" t="n">
        <v>8</v>
      </c>
      <c r="M96" s="16" t="s">
        <v>53</v>
      </c>
      <c r="N96" s="16" t="s">
        <v>359</v>
      </c>
      <c r="O96" s="16" t="s">
        <v>222</v>
      </c>
      <c r="P96" s="15"/>
      <c r="Q96" s="15"/>
    </row>
    <row r="97" customFormat="false" ht="60" hidden="false" customHeight="true" outlineLevel="0" collapsed="false">
      <c r="A97" s="16" t="s">
        <v>454</v>
      </c>
      <c r="B97" s="16" t="s">
        <v>41</v>
      </c>
      <c r="C97" s="16" t="s">
        <v>85</v>
      </c>
      <c r="D97" s="16" t="s">
        <v>455</v>
      </c>
      <c r="E97" s="16" t="s">
        <v>456</v>
      </c>
      <c r="F97" s="16" t="s">
        <v>457</v>
      </c>
      <c r="G97" s="17" t="n">
        <v>0.667</v>
      </c>
      <c r="H97" s="16" t="s">
        <v>430</v>
      </c>
      <c r="I97" s="17" t="n">
        <v>0.889</v>
      </c>
      <c r="J97" s="17" t="n">
        <v>0.111</v>
      </c>
      <c r="K97" s="17" t="n">
        <v>0.111</v>
      </c>
      <c r="L97" s="18" t="n">
        <v>3</v>
      </c>
      <c r="M97" s="16" t="s">
        <v>53</v>
      </c>
      <c r="N97" s="16" t="s">
        <v>359</v>
      </c>
      <c r="O97" s="16" t="s">
        <v>222</v>
      </c>
      <c r="P97" s="15"/>
      <c r="Q97" s="15"/>
    </row>
    <row r="98" customFormat="false" ht="60" hidden="false" customHeight="true" outlineLevel="0" collapsed="false">
      <c r="A98" s="16" t="s">
        <v>458</v>
      </c>
      <c r="B98" s="16" t="s">
        <v>41</v>
      </c>
      <c r="C98" s="16" t="s">
        <v>99</v>
      </c>
      <c r="D98" s="16" t="s">
        <v>459</v>
      </c>
      <c r="E98" s="16" t="s">
        <v>460</v>
      </c>
      <c r="F98" s="16" t="s">
        <v>461</v>
      </c>
      <c r="G98" s="17" t="n">
        <v>0.889</v>
      </c>
      <c r="H98" s="16" t="s">
        <v>324</v>
      </c>
      <c r="I98" s="17" t="n">
        <v>0.556</v>
      </c>
      <c r="J98" s="17" t="n">
        <v>0.118</v>
      </c>
      <c r="K98" s="17" t="n">
        <v>0.286</v>
      </c>
      <c r="L98" s="18" t="n">
        <v>7</v>
      </c>
      <c r="M98" s="16" t="s">
        <v>40</v>
      </c>
      <c r="N98" s="16" t="s">
        <v>462</v>
      </c>
      <c r="O98" s="16" t="s">
        <v>105</v>
      </c>
      <c r="P98" s="15"/>
      <c r="Q98" s="15"/>
    </row>
    <row r="99" customFormat="false" ht="60" hidden="false" customHeight="true" outlineLevel="0" collapsed="false">
      <c r="A99" s="16" t="s">
        <v>463</v>
      </c>
      <c r="B99" s="16" t="s">
        <v>41</v>
      </c>
      <c r="C99" s="16" t="s">
        <v>85</v>
      </c>
      <c r="D99" s="16" t="s">
        <v>464</v>
      </c>
      <c r="E99" s="16" t="s">
        <v>465</v>
      </c>
      <c r="F99" s="16" t="s">
        <v>466</v>
      </c>
      <c r="G99" s="17" t="n">
        <v>1</v>
      </c>
      <c r="H99" s="16" t="s">
        <v>289</v>
      </c>
      <c r="I99" s="17" t="n">
        <v>0.889</v>
      </c>
      <c r="J99" s="17" t="n">
        <v>0.125</v>
      </c>
      <c r="K99" s="17" t="n">
        <v>0.267</v>
      </c>
      <c r="L99" s="18" t="n">
        <v>5</v>
      </c>
      <c r="M99" s="16" t="s">
        <v>40</v>
      </c>
      <c r="N99" s="16" t="s">
        <v>305</v>
      </c>
      <c r="O99" s="16" t="s">
        <v>105</v>
      </c>
      <c r="P99" s="15"/>
      <c r="Q99" s="15"/>
    </row>
    <row r="100" customFormat="false" ht="60" hidden="false" customHeight="true" outlineLevel="0" collapsed="false">
      <c r="A100" s="16" t="s">
        <v>467</v>
      </c>
      <c r="B100" s="16" t="s">
        <v>41</v>
      </c>
      <c r="C100" s="16" t="s">
        <v>113</v>
      </c>
      <c r="D100" s="16" t="s">
        <v>464</v>
      </c>
      <c r="E100" s="16" t="s">
        <v>465</v>
      </c>
      <c r="F100" s="16" t="s">
        <v>466</v>
      </c>
      <c r="G100" s="17" t="n">
        <v>1</v>
      </c>
      <c r="H100" s="16" t="s">
        <v>289</v>
      </c>
      <c r="I100" s="17" t="n">
        <v>1</v>
      </c>
      <c r="J100" s="17" t="n">
        <v>0.125</v>
      </c>
      <c r="K100" s="17" t="n">
        <v>0.267</v>
      </c>
      <c r="L100" s="18" t="n">
        <v>5</v>
      </c>
      <c r="M100" s="16" t="s">
        <v>40</v>
      </c>
      <c r="N100" s="16" t="s">
        <v>305</v>
      </c>
      <c r="O100" s="16" t="s">
        <v>105</v>
      </c>
      <c r="P100" s="15"/>
      <c r="Q100" s="15"/>
    </row>
    <row r="101" customFormat="false" ht="60" hidden="false" customHeight="true" outlineLevel="0" collapsed="false">
      <c r="A101" s="16" t="s">
        <v>468</v>
      </c>
      <c r="B101" s="16" t="s">
        <v>41</v>
      </c>
      <c r="C101" s="16" t="s">
        <v>99</v>
      </c>
      <c r="D101" s="16" t="s">
        <v>469</v>
      </c>
      <c r="E101" s="16" t="s">
        <v>139</v>
      </c>
      <c r="F101" s="16" t="s">
        <v>470</v>
      </c>
      <c r="G101" s="17" t="n">
        <v>1</v>
      </c>
      <c r="H101" s="16" t="s">
        <v>289</v>
      </c>
      <c r="I101" s="17" t="n">
        <v>0.222</v>
      </c>
      <c r="J101" s="17" t="n">
        <v>0.143</v>
      </c>
      <c r="K101" s="17" t="n">
        <v>0.143</v>
      </c>
      <c r="L101" s="18" t="n">
        <v>2</v>
      </c>
      <c r="M101" s="16" t="s">
        <v>45</v>
      </c>
      <c r="N101" s="16" t="s">
        <v>290</v>
      </c>
      <c r="O101" s="16" t="s">
        <v>91</v>
      </c>
      <c r="P101" s="15"/>
      <c r="Q101" s="15"/>
    </row>
  </sheetData>
  <autoFilter ref="A1:Q101"/>
  <dataValidations count="1">
    <dataValidation allowBlank="true" error="Use um código do livro de códigos (aba Instruções)." errorStyle="stop" errorTitle="Código inválido" operator="between" showDropDown="false" showErrorMessage="false" showInputMessage="false" sqref="P2:P101" type="list">
      <formula1>codigos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471</v>
      </c>
    </row>
    <row r="3" customFormat="false" ht="15" hidden="false" customHeight="false" outlineLevel="0" collapsed="false">
      <c r="A3" s="3" t="s">
        <v>472</v>
      </c>
      <c r="B3" s="19" t="n">
        <f aca="false">COUNTA(Anotação!$P$2:$P$101)</f>
        <v>0</v>
      </c>
    </row>
    <row r="4" customFormat="false" ht="15" hidden="false" customHeight="false" outlineLevel="0" collapsed="false">
      <c r="A4" s="3" t="s">
        <v>473</v>
      </c>
      <c r="B4" s="20" t="n">
        <f aca="false">B3/100</f>
        <v>0</v>
      </c>
    </row>
    <row r="5" customFormat="false" ht="15" hidden="false" customHeight="false" outlineLevel="0" collapsed="false">
      <c r="A5" s="3" t="s">
        <v>474</v>
      </c>
      <c r="B5" s="20" t="str">
        <f aca="false">IFERROR(SUMPRODUCT((Anotação!$M$2:$M$101=Anotação!$P$2:$P$101)*(Anotação!$P$2:$P$101&lt;&gt;""))/B3,"-")</f>
        <v>-</v>
      </c>
      <c r="C5" s="2" t="s">
        <v>475</v>
      </c>
    </row>
    <row r="7" customFormat="false" ht="15" hidden="false" customHeight="false" outlineLevel="0" collapsed="false">
      <c r="A7" s="6" t="s">
        <v>15</v>
      </c>
      <c r="B7" s="6" t="s">
        <v>17</v>
      </c>
      <c r="C7" s="6" t="s">
        <v>476</v>
      </c>
      <c r="D7" s="6" t="s">
        <v>477</v>
      </c>
      <c r="E7" s="6" t="s">
        <v>478</v>
      </c>
    </row>
    <row r="8" customFormat="false" ht="15" hidden="false" customHeight="false" outlineLevel="0" collapsed="false">
      <c r="A8" s="21" t="s">
        <v>20</v>
      </c>
      <c r="B8" s="21" t="s">
        <v>22</v>
      </c>
      <c r="C8" s="21" t="n">
        <f aca="false">COUNTIF(Anotação!$M$2:$M$101,A8)</f>
        <v>26</v>
      </c>
      <c r="D8" s="21" t="n">
        <f aca="false">COUNTIF(Anotação!$P$2:$P$101,A8)</f>
        <v>0</v>
      </c>
      <c r="E8" s="22" t="str">
        <f aca="false">IFERROR(D8/COUNTIFS(Anotação!$B$2:$B$101,"A",Anotação!$P$2:$P$101,"&lt;&gt;"),"-")</f>
        <v>-</v>
      </c>
    </row>
    <row r="9" customFormat="false" ht="15" hidden="false" customHeight="false" outlineLevel="0" collapsed="false">
      <c r="A9" s="21" t="s">
        <v>25</v>
      </c>
      <c r="B9" s="21" t="s">
        <v>26</v>
      </c>
      <c r="C9" s="21" t="n">
        <f aca="false">COUNTIF(Anotação!$M$2:$M$101,A9)</f>
        <v>3</v>
      </c>
      <c r="D9" s="21" t="n">
        <f aca="false">COUNTIF(Anotação!$P$2:$P$101,A9)</f>
        <v>0</v>
      </c>
      <c r="E9" s="22" t="str">
        <f aca="false">IFERROR(D9/COUNTIFS(Anotação!$B$2:$B$101,"A",Anotação!$P$2:$P$101,"&lt;&gt;"),"-")</f>
        <v>-</v>
      </c>
    </row>
    <row r="10" customFormat="false" ht="15" hidden="false" customHeight="false" outlineLevel="0" collapsed="false">
      <c r="A10" s="21" t="s">
        <v>29</v>
      </c>
      <c r="B10" s="21" t="s">
        <v>30</v>
      </c>
      <c r="C10" s="21" t="n">
        <f aca="false">COUNTIF(Anotação!$M$2:$M$101,A10)</f>
        <v>2</v>
      </c>
      <c r="D10" s="21" t="n">
        <f aca="false">COUNTIF(Anotação!$P$2:$P$101,A10)</f>
        <v>0</v>
      </c>
      <c r="E10" s="22" t="str">
        <f aca="false">IFERROR(D10/COUNTIFS(Anotação!$B$2:$B$101,"A",Anotação!$P$2:$P$101,"&lt;&gt;"),"-")</f>
        <v>-</v>
      </c>
    </row>
    <row r="11" customFormat="false" ht="15" hidden="false" customHeight="false" outlineLevel="0" collapsed="false">
      <c r="A11" s="21" t="s">
        <v>33</v>
      </c>
      <c r="B11" s="21" t="s">
        <v>34</v>
      </c>
      <c r="C11" s="21" t="n">
        <f aca="false">COUNTIF(Anotação!$M$2:$M$101,A11)</f>
        <v>18</v>
      </c>
      <c r="D11" s="21" t="n">
        <f aca="false">COUNTIF(Anotação!$P$2:$P$101,A11)</f>
        <v>0</v>
      </c>
      <c r="E11" s="22" t="str">
        <f aca="false">IFERROR(D11/COUNTIFS(Anotação!$B$2:$B$101,"A",Anotação!$P$2:$P$101,"&lt;&gt;"),"-")</f>
        <v>-</v>
      </c>
    </row>
    <row r="12" customFormat="false" ht="15" hidden="false" customHeight="false" outlineLevel="0" collapsed="false">
      <c r="A12" s="21" t="s">
        <v>37</v>
      </c>
      <c r="B12" s="21" t="s">
        <v>38</v>
      </c>
      <c r="C12" s="21" t="n">
        <f aca="false">COUNTIF(Anotação!$M$2:$M$101,A12)</f>
        <v>1</v>
      </c>
      <c r="D12" s="21" t="n">
        <f aca="false">COUNTIF(Anotação!$P$2:$P$101,A12)</f>
        <v>0</v>
      </c>
      <c r="E12" s="22" t="str">
        <f aca="false">IFERROR(D12/COUNTIFS(Anotação!$B$2:$B$101,"A",Anotação!$P$2:$P$101,"&lt;&gt;"),"-")</f>
        <v>-</v>
      </c>
    </row>
    <row r="13" customFormat="false" ht="15" hidden="false" customHeight="false" outlineLevel="0" collapsed="false">
      <c r="A13" s="21" t="s">
        <v>40</v>
      </c>
      <c r="B13" s="21" t="s">
        <v>42</v>
      </c>
      <c r="C13" s="21" t="n">
        <f aca="false">COUNTIF(Anotação!$M$2:$M$101,A13)</f>
        <v>11</v>
      </c>
      <c r="D13" s="21" t="n">
        <f aca="false">COUNTIF(Anotação!$P$2:$P$101,A13)</f>
        <v>0</v>
      </c>
      <c r="E13" s="22" t="str">
        <f aca="false">IFERROR(D13/COUNTIFS(Anotação!$B$2:$B$101,"B",Anotação!$P$2:$P$101,"&lt;&gt;"),"-")</f>
        <v>-</v>
      </c>
    </row>
    <row r="14" customFormat="false" ht="15" hidden="false" customHeight="false" outlineLevel="0" collapsed="false">
      <c r="A14" s="21" t="s">
        <v>45</v>
      </c>
      <c r="B14" s="21" t="s">
        <v>46</v>
      </c>
      <c r="C14" s="21" t="n">
        <f aca="false">COUNTIF(Anotação!$M$2:$M$101,A14)</f>
        <v>27</v>
      </c>
      <c r="D14" s="21" t="n">
        <f aca="false">COUNTIF(Anotação!$P$2:$P$101,A14)</f>
        <v>0</v>
      </c>
      <c r="E14" s="22" t="str">
        <f aca="false">IFERROR(D14/COUNTIFS(Anotação!$B$2:$B$101,"B",Anotação!$P$2:$P$101,"&lt;&gt;"),"-")</f>
        <v>-</v>
      </c>
    </row>
    <row r="15" customFormat="false" ht="15" hidden="false" customHeight="false" outlineLevel="0" collapsed="false">
      <c r="A15" s="21" t="s">
        <v>49</v>
      </c>
      <c r="B15" s="21" t="s">
        <v>50</v>
      </c>
      <c r="C15" s="21" t="n">
        <f aca="false">COUNTIF(Anotação!$M$2:$M$101,A15)</f>
        <v>6</v>
      </c>
      <c r="D15" s="21" t="n">
        <f aca="false">COUNTIF(Anotação!$P$2:$P$101,A15)</f>
        <v>0</v>
      </c>
      <c r="E15" s="22" t="str">
        <f aca="false">IFERROR(D15/COUNTIFS(Anotação!$B$2:$B$101,"B",Anotação!$P$2:$P$101,"&lt;&gt;"),"-")</f>
        <v>-</v>
      </c>
    </row>
    <row r="16" customFormat="false" ht="15" hidden="false" customHeight="false" outlineLevel="0" collapsed="false">
      <c r="A16" s="21" t="s">
        <v>53</v>
      </c>
      <c r="B16" s="21" t="s">
        <v>54</v>
      </c>
      <c r="C16" s="21" t="n">
        <f aca="false">COUNTIF(Anotação!$M$2:$M$101,A16)</f>
        <v>6</v>
      </c>
      <c r="D16" s="21" t="n">
        <f aca="false">COUNTIF(Anotação!$P$2:$P$101,A16)</f>
        <v>0</v>
      </c>
      <c r="E16" s="22" t="str">
        <f aca="false">IFERROR(D16/COUNTIFS(Anotação!$B$2:$B$101,"B",Anotação!$P$2:$P$101,"&lt;&gt;"),"-")</f>
        <v>-</v>
      </c>
    </row>
    <row r="17" customFormat="false" ht="15" hidden="false" customHeight="false" outlineLevel="0" collapsed="false">
      <c r="A17" s="21" t="s">
        <v>57</v>
      </c>
      <c r="B17" s="21" t="s">
        <v>58</v>
      </c>
      <c r="C17" s="21" t="n">
        <f aca="false">COUNTIF(Anotação!$M$2:$M$101,A17)</f>
        <v>0</v>
      </c>
      <c r="D17" s="21" t="n">
        <f aca="false">COUNTIF(Anotação!$P$2:$P$101,A17)</f>
        <v>0</v>
      </c>
      <c r="E17" s="22" t="str">
        <f aca="false">IFERROR(D17/COUNTIFS(Anotação!$B$2:$B$101,"B",Anotação!$P$2:$P$101,"&lt;&gt;"),"-")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2026-09-26T14:10:01Z</dcterms:created>
  <dc:creator>openpyxl</dc:creator>
  <dc:description/>
  <dc:language>en-US</dc:language>
  <cp:lastModifiedBy/>
  <dcterms:modified xsi:type="dcterms:W3CDTF">2026-09-26T14:10:01Z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